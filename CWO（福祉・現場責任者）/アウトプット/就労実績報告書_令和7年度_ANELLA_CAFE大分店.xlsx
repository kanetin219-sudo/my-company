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個表" sheetId="1" state="visible" r:id="rId1"/>
    <sheet xmlns:r="http://schemas.openxmlformats.org/officeDocument/2006/relationships" name="記入例 (個表)" sheetId="2" state="visible" r:id="rId2"/>
  </sheets>
  <externalReferences>
    <externalReference xmlns:r="http://schemas.openxmlformats.org/officeDocument/2006/relationships" r:id="rId3"/>
  </externalReferences>
  <definedNames>
    <definedName name="障がい種別リスト">[1]リスト!$C$2:$C$4</definedName>
    <definedName name="_xlnm.Print_Titles" localSheetId="0">'個表'!$1:$5</definedName>
    <definedName name="_xlnm.Print_Area" localSheetId="0">'個表'!$A$1:$M$616</definedName>
    <definedName name="_xlnm.Print_Titles" localSheetId="1">'記入例 (個表)'!$3:$5</definedName>
    <definedName name="_xlnm.Print_Area" localSheetId="1">'記入例 (個表)'!$A$1:$M$366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&quot;▲ &quot;#,##0"/>
    <numFmt numFmtId="165" formatCode="#,##0_);\(#,##0\)"/>
    <numFmt numFmtId="166" formatCode="#,##0.00_);\(#,##0.00\)"/>
  </numFmts>
  <fonts count="11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ゴシック"/>
      <charset val="128"/>
      <family val="3"/>
      <color theme="1"/>
      <sz val="11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ゴシック"/>
      <charset val="128"/>
      <family val="3"/>
      <color theme="1"/>
      <sz val="8"/>
    </font>
    <font>
      <name val="ＭＳ Ｐゴシック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ＭＳ Ｐゴシック"/>
      <charset val="128"/>
      <family val="3"/>
      <sz val="6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theme="0"/>
      </patternFill>
    </fill>
    <fill>
      <patternFill patternType="solid">
        <fgColor rgb="FFFABF8F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37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21" applyAlignment="1" pivotButton="0" quotePrefix="0" xfId="0">
      <alignment vertical="center"/>
    </xf>
    <xf numFmtId="164" fontId="2" fillId="0" borderId="15" applyAlignment="1" pivotButton="0" quotePrefix="0" xfId="0">
      <alignment vertical="center"/>
    </xf>
    <xf numFmtId="164" fontId="2" fillId="0" borderId="11" applyAlignment="1" pivotButton="0" quotePrefix="0" xfId="0">
      <alignment vertical="center"/>
    </xf>
    <xf numFmtId="164" fontId="2" fillId="0" borderId="26" applyAlignment="1" pivotButton="0" quotePrefix="0" xfId="0">
      <alignment vertical="center"/>
    </xf>
    <xf numFmtId="164" fontId="2" fillId="0" borderId="21" applyAlignment="1" pivotButton="0" quotePrefix="0" xfId="0">
      <alignment vertical="center" shrinkToFit="1"/>
    </xf>
    <xf numFmtId="164" fontId="2" fillId="0" borderId="1" applyAlignment="1" pivotButton="0" quotePrefix="0" xfId="0">
      <alignment vertical="center" shrinkToFit="1"/>
    </xf>
    <xf numFmtId="164" fontId="2" fillId="0" borderId="12" applyAlignment="1" pivotButton="0" quotePrefix="0" xfId="0">
      <alignment vertical="center" shrinkToFit="1"/>
    </xf>
    <xf numFmtId="0" fontId="9" fillId="0" borderId="28" applyAlignment="1" pivotButton="0" quotePrefix="0" xfId="0">
      <alignment horizontal="center" vertical="center"/>
    </xf>
    <xf numFmtId="165" fontId="9" fillId="3" borderId="29" applyAlignment="1" pivotButton="0" quotePrefix="0" xfId="0">
      <alignment vertical="center"/>
    </xf>
    <xf numFmtId="166" fontId="0" fillId="3" borderId="30" applyAlignment="1" pivotButton="0" quotePrefix="0" xfId="0">
      <alignment vertical="center"/>
    </xf>
    <xf numFmtId="164" fontId="9" fillId="3" borderId="28" applyAlignment="1" pivotButton="0" quotePrefix="0" xfId="1">
      <alignment vertical="center"/>
    </xf>
    <xf numFmtId="164" fontId="9" fillId="3" borderId="29" applyAlignment="1" pivotButton="0" quotePrefix="0" xfId="1">
      <alignment vertical="center"/>
    </xf>
    <xf numFmtId="164" fontId="9" fillId="3" borderId="30" applyAlignment="1" pivotButton="0" quotePrefix="0" xfId="1">
      <alignment vertical="center"/>
    </xf>
    <xf numFmtId="164" fontId="9" fillId="0" borderId="31" applyAlignment="1" pivotButton="0" quotePrefix="0" xfId="1">
      <alignment vertical="center"/>
    </xf>
    <xf numFmtId="0" fontId="9" fillId="0" borderId="16" applyAlignment="1" pivotButton="0" quotePrefix="0" xfId="0">
      <alignment horizontal="center" vertical="center"/>
    </xf>
    <xf numFmtId="165" fontId="9" fillId="3" borderId="25" applyAlignment="1" pivotButton="0" quotePrefix="0" xfId="0">
      <alignment vertical="center"/>
    </xf>
    <xf numFmtId="166" fontId="9" fillId="3" borderId="17" applyAlignment="1" pivotButton="0" quotePrefix="0" xfId="1">
      <alignment vertical="center"/>
    </xf>
    <xf numFmtId="164" fontId="9" fillId="3" borderId="16" applyAlignment="1" pivotButton="0" quotePrefix="0" xfId="1">
      <alignment vertical="center"/>
    </xf>
    <xf numFmtId="164" fontId="9" fillId="3" borderId="25" applyAlignment="1" pivotButton="0" quotePrefix="0" xfId="1">
      <alignment vertical="center"/>
    </xf>
    <xf numFmtId="164" fontId="9" fillId="3" borderId="17" applyAlignment="1" pivotButton="0" quotePrefix="0" xfId="1">
      <alignment vertical="center"/>
    </xf>
    <xf numFmtId="164" fontId="9" fillId="0" borderId="15" applyAlignment="1" pivotButton="0" quotePrefix="0" xfId="1">
      <alignment vertical="center"/>
    </xf>
    <xf numFmtId="0" fontId="9" fillId="0" borderId="18" applyAlignment="1" pivotButton="0" quotePrefix="0" xfId="0">
      <alignment horizontal="center" vertical="center"/>
    </xf>
    <xf numFmtId="165" fontId="9" fillId="3" borderId="32" applyAlignment="1" pivotButton="0" quotePrefix="0" xfId="0">
      <alignment vertical="center"/>
    </xf>
    <xf numFmtId="166" fontId="9" fillId="3" borderId="19" applyAlignment="1" pivotButton="0" quotePrefix="0" xfId="1">
      <alignment vertical="center"/>
    </xf>
    <xf numFmtId="164" fontId="9" fillId="3" borderId="18" applyAlignment="1" pivotButton="0" quotePrefix="0" xfId="1">
      <alignment vertical="center"/>
    </xf>
    <xf numFmtId="164" fontId="9" fillId="3" borderId="32" applyAlignment="1" pivotButton="0" quotePrefix="0" xfId="1">
      <alignment vertical="center"/>
    </xf>
    <xf numFmtId="164" fontId="9" fillId="3" borderId="19" applyAlignment="1" pivotButton="0" quotePrefix="0" xfId="1">
      <alignment vertical="center"/>
    </xf>
    <xf numFmtId="164" fontId="9" fillId="0" borderId="26" applyAlignment="1" pivotButton="0" quotePrefix="0" xfId="1">
      <alignment vertical="center"/>
    </xf>
    <xf numFmtId="38" fontId="9" fillId="3" borderId="31" applyAlignment="1" pivotButton="0" quotePrefix="0" xfId="1">
      <alignment vertical="center" shrinkToFit="1"/>
    </xf>
    <xf numFmtId="38" fontId="9" fillId="3" borderId="15" applyAlignment="1" pivotButton="0" quotePrefix="0" xfId="1">
      <alignment vertical="center" shrinkToFit="1"/>
    </xf>
    <xf numFmtId="38" fontId="9" fillId="3" borderId="26" applyAlignment="1" pivotButton="0" quotePrefix="0" xfId="1">
      <alignment vertical="center" shrinkToFit="1"/>
    </xf>
    <xf numFmtId="0" fontId="5" fillId="4" borderId="13" applyAlignment="1" pivotButton="0" quotePrefix="0" xfId="0">
      <alignment horizontal="center" vertical="center"/>
    </xf>
    <xf numFmtId="0" fontId="5" fillId="4" borderId="22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5" fontId="2" fillId="4" borderId="23" applyAlignment="1" pivotButton="0" quotePrefix="0" xfId="0">
      <alignment vertical="center"/>
    </xf>
    <xf numFmtId="166" fontId="2" fillId="4" borderId="27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164" fontId="2" fillId="4" borderId="23" applyAlignment="1" pivotButton="0" quotePrefix="0" xfId="0">
      <alignment vertical="center"/>
    </xf>
    <xf numFmtId="164" fontId="2" fillId="4" borderId="21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4" borderId="21" applyAlignment="1" pivotButton="0" quotePrefix="0" xfId="0">
      <alignment vertical="center"/>
    </xf>
    <xf numFmtId="0" fontId="2" fillId="4" borderId="7" applyAlignment="1" pivotButton="0" quotePrefix="0" xfId="0">
      <alignment horizontal="center" vertical="center"/>
    </xf>
    <xf numFmtId="165" fontId="2" fillId="4" borderId="24" applyAlignment="1" pivotButton="0" quotePrefix="0" xfId="0">
      <alignment vertical="center" shrinkToFit="1"/>
    </xf>
    <xf numFmtId="166" fontId="2" fillId="4" borderId="20" applyAlignment="1" pivotButton="0" quotePrefix="0" xfId="0">
      <alignment vertical="center" shrinkToFit="1"/>
    </xf>
    <xf numFmtId="164" fontId="2" fillId="4" borderId="8" applyAlignment="1" pivotButton="0" quotePrefix="0" xfId="0">
      <alignment vertical="center"/>
    </xf>
    <xf numFmtId="164" fontId="2" fillId="4" borderId="24" applyAlignment="1" pivotButton="0" quotePrefix="0" xfId="0">
      <alignment vertical="center"/>
    </xf>
    <xf numFmtId="164" fontId="2" fillId="4" borderId="12" applyAlignment="1" pivotButton="0" quotePrefix="0" xfId="0">
      <alignment vertical="center" shrinkToFit="1"/>
    </xf>
    <xf numFmtId="0" fontId="2" fillId="4" borderId="8" applyAlignment="1" pivotButton="0" quotePrefix="0" xfId="0">
      <alignment vertical="center"/>
    </xf>
    <xf numFmtId="0" fontId="2" fillId="4" borderId="12" applyAlignment="1" pivotButton="0" quotePrefix="0" xfId="0">
      <alignment vertical="center"/>
    </xf>
    <xf numFmtId="164" fontId="2" fillId="5" borderId="11" applyAlignment="1" pivotButton="0" quotePrefix="0" xfId="0">
      <alignment vertical="center" shrinkToFit="1"/>
    </xf>
    <xf numFmtId="165" fontId="2" fillId="3" borderId="23" applyAlignment="1" pivotButton="0" quotePrefix="0" xfId="0">
      <alignment vertical="center"/>
    </xf>
    <xf numFmtId="166" fontId="2" fillId="3" borderId="4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164" fontId="2" fillId="3" borderId="23" applyAlignment="1" pivotButton="0" quotePrefix="0" xfId="0">
      <alignment vertical="center"/>
    </xf>
    <xf numFmtId="164" fontId="2" fillId="3" borderId="4" applyAlignment="1" pivotButton="0" quotePrefix="0" xfId="0">
      <alignment vertical="center"/>
    </xf>
    <xf numFmtId="165" fontId="2" fillId="3" borderId="25" applyAlignment="1" pivotButton="0" quotePrefix="0" xfId="0">
      <alignment vertical="center"/>
    </xf>
    <xf numFmtId="166" fontId="2" fillId="3" borderId="17" applyAlignment="1" pivotButton="0" quotePrefix="0" xfId="0">
      <alignment vertical="center"/>
    </xf>
    <xf numFmtId="164" fontId="2" fillId="3" borderId="16" applyAlignment="1" pivotButton="0" quotePrefix="0" xfId="0">
      <alignment vertical="center"/>
    </xf>
    <xf numFmtId="164" fontId="2" fillId="3" borderId="25" applyAlignment="1" pivotButton="0" quotePrefix="0" xfId="0">
      <alignment vertical="center"/>
    </xf>
    <xf numFmtId="164" fontId="2" fillId="3" borderId="17" applyAlignment="1" pivotButton="0" quotePrefix="0" xfId="0">
      <alignment vertical="center"/>
    </xf>
    <xf numFmtId="165" fontId="2" fillId="3" borderId="24" applyAlignment="1" pivotButton="0" quotePrefix="0" xfId="0">
      <alignment vertical="center"/>
    </xf>
    <xf numFmtId="166" fontId="2" fillId="3" borderId="9" applyAlignment="1" pivotButton="0" quotePrefix="0" xfId="0">
      <alignment vertical="center"/>
    </xf>
    <xf numFmtId="164" fontId="2" fillId="3" borderId="7" applyAlignment="1" pivotButton="0" quotePrefix="0" xfId="0">
      <alignment vertical="center"/>
    </xf>
    <xf numFmtId="164" fontId="2" fillId="3" borderId="24" applyAlignment="1" pivotButton="0" quotePrefix="0" xfId="0">
      <alignment vertical="center"/>
    </xf>
    <xf numFmtId="164" fontId="2" fillId="3" borderId="9" applyAlignment="1" pivotButton="0" quotePrefix="0" xfId="0">
      <alignment vertical="center"/>
    </xf>
    <xf numFmtId="0" fontId="2" fillId="3" borderId="21" applyAlignment="1" pivotButton="0" quotePrefix="0" xfId="0">
      <alignment vertical="center" shrinkToFit="1"/>
    </xf>
    <xf numFmtId="0" fontId="2" fillId="3" borderId="15" applyAlignment="1" pivotButton="0" quotePrefix="0" xfId="0">
      <alignment vertical="center" shrinkToFit="1"/>
    </xf>
    <xf numFmtId="0" fontId="2" fillId="3" borderId="12" applyAlignment="1" pivotButton="0" quotePrefix="0" xfId="0">
      <alignment vertical="center" shrinkToFit="1"/>
    </xf>
    <xf numFmtId="0" fontId="2" fillId="6" borderId="7" applyAlignment="1" pivotButton="0" quotePrefix="0" xfId="0">
      <alignment horizontal="right" vertical="center"/>
    </xf>
    <xf numFmtId="0" fontId="2" fillId="6" borderId="9" applyAlignment="1" pivotButton="0" quotePrefix="0" xfId="0">
      <alignment vertical="center"/>
    </xf>
    <xf numFmtId="164" fontId="2" fillId="0" borderId="0" applyAlignment="1" pivotButton="0" quotePrefix="0" xfId="0">
      <alignment vertical="center" shrinkToFit="1"/>
    </xf>
    <xf numFmtId="0" fontId="2" fillId="6" borderId="8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 shrinkToFit="1"/>
    </xf>
    <xf numFmtId="0" fontId="2" fillId="4" borderId="6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/>
    </xf>
    <xf numFmtId="0" fontId="2" fillId="2" borderId="2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3" fillId="4" borderId="21" applyAlignment="1" pivotButton="0" quotePrefix="0" xfId="0">
      <alignment horizontal="center" vertical="top" wrapText="1"/>
    </xf>
    <xf numFmtId="0" fontId="3" fillId="4" borderId="11" applyAlignment="1" pivotButton="0" quotePrefix="0" xfId="0">
      <alignment horizontal="center" vertical="top" wrapText="1"/>
    </xf>
    <xf numFmtId="0" fontId="3" fillId="4" borderId="12" applyAlignment="1" pivotButton="0" quotePrefix="0" xfId="0">
      <alignment horizontal="center" vertical="top" wrapText="1"/>
    </xf>
    <xf numFmtId="0" fontId="2" fillId="6" borderId="7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7" fillId="4" borderId="5" applyAlignment="1" pivotButton="0" quotePrefix="0" xfId="0">
      <alignment vertical="center" wrapText="1"/>
    </xf>
    <xf numFmtId="0" fontId="7" fillId="4" borderId="6" applyAlignment="1" pivotButton="0" quotePrefix="0" xfId="0">
      <alignment vertical="center" wrapText="1"/>
    </xf>
    <xf numFmtId="0" fontId="7" fillId="4" borderId="7" applyAlignment="1" pivotButton="0" quotePrefix="0" xfId="0">
      <alignment vertical="center" wrapText="1"/>
    </xf>
    <xf numFmtId="0" fontId="7" fillId="4" borderId="9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2" fillId="3" borderId="21" applyAlignment="1" applyProtection="1" pivotButton="0" quotePrefix="0" xfId="0">
      <alignment horizontal="center" vertical="center"/>
      <protection locked="0" hidden="0"/>
    </xf>
    <xf numFmtId="165" fontId="2" fillId="3" borderId="23" applyAlignment="1" applyProtection="1" pivotButton="0" quotePrefix="0" xfId="0">
      <alignment vertical="center"/>
      <protection locked="0" hidden="0"/>
    </xf>
    <xf numFmtId="166" fontId="2" fillId="3" borderId="4" applyAlignment="1" applyProtection="1" pivotButton="0" quotePrefix="0" xfId="0">
      <alignment vertical="center"/>
      <protection locked="0" hidden="0"/>
    </xf>
    <xf numFmtId="164" fontId="2" fillId="3" borderId="2" applyAlignment="1" applyProtection="1" pivotButton="0" quotePrefix="0" xfId="0">
      <alignment vertical="center"/>
      <protection locked="0" hidden="0"/>
    </xf>
    <xf numFmtId="164" fontId="2" fillId="3" borderId="23" applyAlignment="1" applyProtection="1" pivotButton="0" quotePrefix="0" xfId="0">
      <alignment vertical="center"/>
      <protection locked="0" hidden="0"/>
    </xf>
    <xf numFmtId="164" fontId="2" fillId="3" borderId="4" applyAlignment="1" applyProtection="1" pivotButton="0" quotePrefix="0" xfId="0">
      <alignment vertical="center"/>
      <protection locked="0" hidden="0"/>
    </xf>
    <xf numFmtId="0" fontId="2" fillId="3" borderId="21" applyAlignment="1" applyProtection="1" pivotButton="0" quotePrefix="0" xfId="0">
      <alignment vertical="center" shrinkToFit="1"/>
      <protection locked="0" hidden="0"/>
    </xf>
    <xf numFmtId="0" fontId="2" fillId="3" borderId="11" applyAlignment="1" applyProtection="1" pivotButton="0" quotePrefix="0" xfId="0">
      <alignment horizontal="center" vertical="center"/>
      <protection locked="0" hidden="0"/>
    </xf>
    <xf numFmtId="165" fontId="2" fillId="3" borderId="25" applyAlignment="1" applyProtection="1" pivotButton="0" quotePrefix="0" xfId="0">
      <alignment vertical="center"/>
      <protection locked="0" hidden="0"/>
    </xf>
    <xf numFmtId="166" fontId="2" fillId="3" borderId="17" applyAlignment="1" applyProtection="1" pivotButton="0" quotePrefix="0" xfId="0">
      <alignment vertical="center"/>
      <protection locked="0" hidden="0"/>
    </xf>
    <xf numFmtId="164" fontId="2" fillId="3" borderId="16" applyAlignment="1" applyProtection="1" pivotButton="0" quotePrefix="0" xfId="0">
      <alignment vertical="center"/>
      <protection locked="0" hidden="0"/>
    </xf>
    <xf numFmtId="164" fontId="2" fillId="3" borderId="25" applyAlignment="1" applyProtection="1" pivotButton="0" quotePrefix="0" xfId="0">
      <alignment vertical="center"/>
      <protection locked="0" hidden="0"/>
    </xf>
    <xf numFmtId="164" fontId="2" fillId="3" borderId="17" applyAlignment="1" applyProtection="1" pivotButton="0" quotePrefix="0" xfId="0">
      <alignment vertical="center"/>
      <protection locked="0" hidden="0"/>
    </xf>
    <xf numFmtId="0" fontId="2" fillId="3" borderId="15" applyAlignment="1" applyProtection="1" pivotButton="0" quotePrefix="0" xfId="0">
      <alignment vertical="center" shrinkToFit="1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165" fontId="2" fillId="3" borderId="24" applyAlignment="1" applyProtection="1" pivotButton="0" quotePrefix="0" xfId="0">
      <alignment vertical="center"/>
      <protection locked="0" hidden="0"/>
    </xf>
    <xf numFmtId="166" fontId="2" fillId="3" borderId="9" applyAlignment="1" applyProtection="1" pivotButton="0" quotePrefix="0" xfId="0">
      <alignment vertical="center"/>
      <protection locked="0" hidden="0"/>
    </xf>
    <xf numFmtId="164" fontId="2" fillId="3" borderId="7" applyAlignment="1" applyProtection="1" pivotButton="0" quotePrefix="0" xfId="0">
      <alignment vertical="center"/>
      <protection locked="0" hidden="0"/>
    </xf>
    <xf numFmtId="164" fontId="2" fillId="3" borderId="24" applyAlignment="1" applyProtection="1" pivotButton="0" quotePrefix="0" xfId="0">
      <alignment vertical="center"/>
      <protection locked="0" hidden="0"/>
    </xf>
    <xf numFmtId="164" fontId="2" fillId="3" borderId="9" applyAlignment="1" applyProtection="1" pivotButton="0" quotePrefix="0" xfId="0">
      <alignment vertical="center"/>
      <protection locked="0" hidden="0"/>
    </xf>
    <xf numFmtId="0" fontId="2" fillId="3" borderId="12" applyAlignment="1" applyProtection="1" pivotButton="0" quotePrefix="0" xfId="0">
      <alignment vertical="center" shrinkToFit="1"/>
      <protection locked="0" hidden="0"/>
    </xf>
    <xf numFmtId="0" fontId="2" fillId="3" borderId="8" applyAlignment="1" applyProtection="1" pivotButton="0" quotePrefix="0" xfId="0">
      <alignment horizontal="center" vertical="center"/>
      <protection locked="0" hidden="0"/>
    </xf>
    <xf numFmtId="0" fontId="2" fillId="3" borderId="9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vertical="center"/>
    </xf>
    <xf numFmtId="0" fontId="2" fillId="6" borderId="7" applyAlignment="1" pivotButton="0" quotePrefix="0" xfId="0">
      <alignment horizontal="right" vertical="center"/>
    </xf>
    <xf numFmtId="0" fontId="2" fillId="6" borderId="8" applyAlignment="1" pivotButton="0" quotePrefix="0" xfId="0">
      <alignment horizontal="center" vertical="center"/>
    </xf>
    <xf numFmtId="0" fontId="2" fillId="6" borderId="9" applyAlignment="1" pivotButton="0" quotePrefix="0" xfId="0">
      <alignment vertical="center"/>
    </xf>
    <xf numFmtId="0" fontId="2" fillId="6" borderId="7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21" applyAlignment="1" pivotButton="0" quotePrefix="0" xfId="0">
      <alignment horizontal="center" vertical="top" wrapText="1"/>
    </xf>
    <xf numFmtId="0" fontId="5" fillId="4" borderId="5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top" wrapText="1"/>
    </xf>
    <xf numFmtId="0" fontId="5" fillId="4" borderId="7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4" borderId="22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top" wrapText="1"/>
    </xf>
    <xf numFmtId="0" fontId="2" fillId="2" borderId="2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1" applyAlignment="1" pivotButton="0" quotePrefix="0" xfId="0">
      <alignment vertical="center"/>
    </xf>
    <xf numFmtId="0" fontId="2" fillId="2" borderId="1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164" fontId="2" fillId="0" borderId="15" applyAlignment="1" pivotButton="0" quotePrefix="0" xfId="0">
      <alignment vertical="center"/>
    </xf>
    <xf numFmtId="0" fontId="2" fillId="2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164" fontId="2" fillId="0" borderId="11" applyAlignment="1" pivotButton="0" quotePrefix="0" xfId="0">
      <alignment vertical="center"/>
    </xf>
    <xf numFmtId="164" fontId="2" fillId="0" borderId="26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5" fontId="2" fillId="4" borderId="23" applyAlignment="1" pivotButton="0" quotePrefix="0" xfId="0">
      <alignment vertical="center"/>
    </xf>
    <xf numFmtId="166" fontId="2" fillId="4" borderId="27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164" fontId="2" fillId="4" borderId="23" applyAlignment="1" pivotButton="0" quotePrefix="0" xfId="0">
      <alignment vertical="center"/>
    </xf>
    <xf numFmtId="164" fontId="2" fillId="4" borderId="21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4" borderId="21" applyAlignment="1" pivotButton="0" quotePrefix="0" xfId="0">
      <alignment vertical="center"/>
    </xf>
    <xf numFmtId="0" fontId="2" fillId="4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165" fontId="2" fillId="4" borderId="24" applyAlignment="1" pivotButton="0" quotePrefix="0" xfId="0">
      <alignment vertical="center" shrinkToFit="1"/>
    </xf>
    <xf numFmtId="166" fontId="2" fillId="4" borderId="20" applyAlignment="1" pivotButton="0" quotePrefix="0" xfId="0">
      <alignment vertical="center" shrinkToFit="1"/>
    </xf>
    <xf numFmtId="164" fontId="2" fillId="4" borderId="8" applyAlignment="1" pivotButton="0" quotePrefix="0" xfId="0">
      <alignment vertical="center"/>
    </xf>
    <xf numFmtId="164" fontId="2" fillId="4" borderId="24" applyAlignment="1" pivotButton="0" quotePrefix="0" xfId="0">
      <alignment vertical="center"/>
    </xf>
    <xf numFmtId="164" fontId="2" fillId="4" borderId="12" applyAlignment="1" pivotButton="0" quotePrefix="0" xfId="0">
      <alignment vertical="center" shrinkToFit="1"/>
    </xf>
    <xf numFmtId="0" fontId="2" fillId="4" borderId="8" applyAlignment="1" pivotButton="0" quotePrefix="0" xfId="0">
      <alignment vertical="center"/>
    </xf>
    <xf numFmtId="0" fontId="2" fillId="4" borderId="1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4" borderId="5" applyAlignment="1" pivotButton="0" quotePrefix="0" xfId="0">
      <alignment vertical="center" wrapText="1"/>
    </xf>
    <xf numFmtId="0" fontId="7" fillId="4" borderId="6" applyAlignment="1" pivotButton="0" quotePrefix="0" xfId="0">
      <alignment vertical="center" wrapText="1"/>
    </xf>
    <xf numFmtId="164" fontId="2" fillId="5" borderId="11" applyAlignment="1" pivotButton="0" quotePrefix="0" xfId="0">
      <alignment vertical="center" shrinkToFit="1"/>
    </xf>
    <xf numFmtId="0" fontId="7" fillId="4" borderId="7" applyAlignment="1" pivotButton="0" quotePrefix="0" xfId="0">
      <alignment vertical="center" wrapText="1"/>
    </xf>
    <xf numFmtId="0" fontId="7" fillId="4" borderId="9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164" fontId="2" fillId="0" borderId="21" applyAlignment="1" pivotButton="0" quotePrefix="0" xfId="0">
      <alignment vertical="center" shrinkToFit="1"/>
    </xf>
    <xf numFmtId="0" fontId="2" fillId="0" borderId="13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164" fontId="2" fillId="0" borderId="1" applyAlignment="1" pivotButton="0" quotePrefix="0" xfId="0">
      <alignment vertical="center" shrinkToFit="1"/>
    </xf>
    <xf numFmtId="0" fontId="2" fillId="0" borderId="1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 shrinkToFi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/>
    </xf>
    <xf numFmtId="0" fontId="2" fillId="0" borderId="13" applyAlignment="1" pivotButton="0" quotePrefix="0" xfId="0">
      <alignment horizontal="center" vertical="center"/>
    </xf>
    <xf numFmtId="164" fontId="2" fillId="0" borderId="12" applyAlignment="1" pivotButton="0" quotePrefix="0" xfId="0">
      <alignment vertical="center" shrinkToFit="1"/>
    </xf>
    <xf numFmtId="164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/>
    </xf>
    <xf numFmtId="0" fontId="9" fillId="0" borderId="21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165" fontId="9" fillId="3" borderId="29" applyAlignment="1" pivotButton="0" quotePrefix="0" xfId="0">
      <alignment vertical="center"/>
    </xf>
    <xf numFmtId="166" fontId="0" fillId="3" borderId="30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3" borderId="25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65" fontId="9" fillId="3" borderId="32" applyAlignment="1" pivotButton="0" quotePrefix="0" xfId="0">
      <alignment vertical="center"/>
    </xf>
    <xf numFmtId="0" fontId="0" fillId="0" borderId="0" pivotButton="0" quotePrefix="0" xfId="0"/>
    <xf numFmtId="0" fontId="2" fillId="6" borderId="1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pivotButton="0" quotePrefix="0" xfId="0"/>
    <xf numFmtId="0" fontId="5" fillId="4" borderId="1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6" borderId="13" applyAlignment="1" pivotButton="0" quotePrefix="0" xfId="0">
      <alignment horizontal="center" vertical="center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2" fillId="2" borderId="1" applyAlignment="1" pivotButton="0" quotePrefix="0" xfId="0">
      <alignment horizontal="center" vertical="center"/>
    </xf>
    <xf numFmtId="165" fontId="2" fillId="3" borderId="23" applyAlignment="1" applyProtection="1" pivotButton="0" quotePrefix="0" xfId="0">
      <alignment vertical="center"/>
      <protection locked="0" hidden="0"/>
    </xf>
    <xf numFmtId="166" fontId="2" fillId="3" borderId="4" applyAlignment="1" applyProtection="1" pivotButton="0" quotePrefix="0" xfId="0">
      <alignment vertical="center"/>
      <protection locked="0" hidden="0"/>
    </xf>
    <xf numFmtId="164" fontId="2" fillId="3" borderId="2" applyAlignment="1" applyProtection="1" pivotButton="0" quotePrefix="0" xfId="0">
      <alignment vertical="center"/>
      <protection locked="0" hidden="0"/>
    </xf>
    <xf numFmtId="164" fontId="2" fillId="3" borderId="23" applyAlignment="1" applyProtection="1" pivotButton="0" quotePrefix="0" xfId="0">
      <alignment vertical="center"/>
      <protection locked="0" hidden="0"/>
    </xf>
    <xf numFmtId="164" fontId="2" fillId="3" borderId="4" applyAlignment="1" applyProtection="1" pivotButton="0" quotePrefix="0" xfId="0">
      <alignment vertical="center"/>
      <protection locked="0" hidden="0"/>
    </xf>
    <xf numFmtId="164" fontId="2" fillId="0" borderId="21" applyAlignment="1" pivotButton="0" quotePrefix="0" xfId="0">
      <alignment vertical="center"/>
    </xf>
    <xf numFmtId="0" fontId="0" fillId="0" borderId="11" applyProtection="1" pivotButton="0" quotePrefix="0" xfId="0">
      <protection locked="0" hidden="0"/>
    </xf>
    <xf numFmtId="165" fontId="2" fillId="3" borderId="25" applyAlignment="1" applyProtection="1" pivotButton="0" quotePrefix="0" xfId="0">
      <alignment vertical="center"/>
      <protection locked="0" hidden="0"/>
    </xf>
    <xf numFmtId="166" fontId="2" fillId="3" borderId="17" applyAlignment="1" applyProtection="1" pivotButton="0" quotePrefix="0" xfId="0">
      <alignment vertical="center"/>
      <protection locked="0" hidden="0"/>
    </xf>
    <xf numFmtId="164" fontId="2" fillId="3" borderId="16" applyAlignment="1" applyProtection="1" pivotButton="0" quotePrefix="0" xfId="0">
      <alignment vertical="center"/>
      <protection locked="0" hidden="0"/>
    </xf>
    <xf numFmtId="164" fontId="2" fillId="3" borderId="25" applyAlignment="1" applyProtection="1" pivotButton="0" quotePrefix="0" xfId="0">
      <alignment vertical="center"/>
      <protection locked="0" hidden="0"/>
    </xf>
    <xf numFmtId="164" fontId="2" fillId="3" borderId="17" applyAlignment="1" applyProtection="1" pivotButton="0" quotePrefix="0" xfId="0">
      <alignment vertical="center"/>
      <protection locked="0" hidden="0"/>
    </xf>
    <xf numFmtId="164" fontId="2" fillId="0" borderId="15" applyAlignment="1" pivotButton="0" quotePrefix="0" xfId="0">
      <alignment vertical="center"/>
    </xf>
    <xf numFmtId="0" fontId="0" fillId="0" borderId="12" applyProtection="1" pivotButton="0" quotePrefix="0" xfId="0">
      <protection locked="0" hidden="0"/>
    </xf>
    <xf numFmtId="165" fontId="2" fillId="3" borderId="24" applyAlignment="1" applyProtection="1" pivotButton="0" quotePrefix="0" xfId="0">
      <alignment vertical="center"/>
      <protection locked="0" hidden="0"/>
    </xf>
    <xf numFmtId="166" fontId="2" fillId="3" borderId="9" applyAlignment="1" applyProtection="1" pivotButton="0" quotePrefix="0" xfId="0">
      <alignment vertical="center"/>
      <protection locked="0" hidden="0"/>
    </xf>
    <xf numFmtId="164" fontId="2" fillId="3" borderId="7" applyAlignment="1" applyProtection="1" pivotButton="0" quotePrefix="0" xfId="0">
      <alignment vertical="center"/>
      <protection locked="0" hidden="0"/>
    </xf>
    <xf numFmtId="164" fontId="2" fillId="3" borderId="24" applyAlignment="1" applyProtection="1" pivotButton="0" quotePrefix="0" xfId="0">
      <alignment vertical="center"/>
      <protection locked="0" hidden="0"/>
    </xf>
    <xf numFmtId="164" fontId="2" fillId="3" borderId="9" applyAlignment="1" applyProtection="1" pivotButton="0" quotePrefix="0" xfId="0">
      <alignment vertical="center"/>
      <protection locked="0" hidden="0"/>
    </xf>
    <xf numFmtId="164" fontId="2" fillId="0" borderId="11" applyAlignment="1" pivotButton="0" quotePrefix="0" xfId="0">
      <alignment vertical="center"/>
    </xf>
    <xf numFmtId="164" fontId="2" fillId="0" borderId="26" applyAlignment="1" pivotButton="0" quotePrefix="0" xfId="0">
      <alignment vertical="center"/>
    </xf>
    <xf numFmtId="165" fontId="2" fillId="4" borderId="23" applyAlignment="1" pivotButton="0" quotePrefix="0" xfId="0">
      <alignment vertical="center"/>
    </xf>
    <xf numFmtId="166" fontId="2" fillId="4" borderId="27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164" fontId="2" fillId="4" borderId="23" applyAlignment="1" pivotButton="0" quotePrefix="0" xfId="0">
      <alignment vertical="center"/>
    </xf>
    <xf numFmtId="164" fontId="2" fillId="4" borderId="21" applyAlignment="1" pivotButton="0" quotePrefix="0" xfId="0">
      <alignment vertical="center"/>
    </xf>
    <xf numFmtId="165" fontId="2" fillId="4" borderId="24" applyAlignment="1" pivotButton="0" quotePrefix="0" xfId="0">
      <alignment vertical="center" shrinkToFit="1"/>
    </xf>
    <xf numFmtId="166" fontId="2" fillId="4" borderId="20" applyAlignment="1" pivotButton="0" quotePrefix="0" xfId="0">
      <alignment vertical="center" shrinkToFit="1"/>
    </xf>
    <xf numFmtId="164" fontId="2" fillId="4" borderId="8" applyAlignment="1" pivotButton="0" quotePrefix="0" xfId="0">
      <alignment vertical="center"/>
    </xf>
    <xf numFmtId="164" fontId="2" fillId="4" borderId="24" applyAlignment="1" pivotButton="0" quotePrefix="0" xfId="0">
      <alignment vertical="center"/>
    </xf>
    <xf numFmtId="164" fontId="2" fillId="4" borderId="12" applyAlignment="1" pivotButton="0" quotePrefix="0" xfId="0">
      <alignment vertical="center" shrinkToFit="1"/>
    </xf>
    <xf numFmtId="0" fontId="2" fillId="4" borderId="21" applyAlignment="1" pivotButton="0" quotePrefix="0" xfId="0">
      <alignment horizontal="center" vertical="center"/>
    </xf>
    <xf numFmtId="0" fontId="7" fillId="4" borderId="12" applyAlignment="1" pivotButton="0" quotePrefix="0" xfId="0">
      <alignment vertical="center" wrapText="1"/>
    </xf>
    <xf numFmtId="0" fontId="0" fillId="0" borderId="6" pivotButton="0" quotePrefix="0" xfId="0"/>
    <xf numFmtId="164" fontId="2" fillId="5" borderId="11" applyAlignment="1" pivotButton="0" quotePrefix="0" xfId="0">
      <alignment vertical="center" shrinkToFit="1"/>
    </xf>
    <xf numFmtId="0" fontId="2" fillId="0" borderId="1" applyAlignment="1" pivotButton="0" quotePrefix="0" xfId="0">
      <alignment vertical="center"/>
    </xf>
    <xf numFmtId="164" fontId="2" fillId="0" borderId="21" applyAlignment="1" pivotButton="0" quotePrefix="0" xfId="0">
      <alignment vertical="center" shrinkToFi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vertical="center" shrinkToFit="1"/>
    </xf>
    <xf numFmtId="164" fontId="2" fillId="0" borderId="1" applyAlignment="1" pivotButton="0" quotePrefix="0" xfId="0">
      <alignment horizontal="right" vertical="center" shrinkToFit="1"/>
    </xf>
    <xf numFmtId="0" fontId="2" fillId="0" borderId="1" applyAlignment="1" pivotButton="0" quotePrefix="0" xfId="0">
      <alignment horizontal="center" vertical="center"/>
    </xf>
    <xf numFmtId="164" fontId="2" fillId="0" borderId="12" applyAlignment="1" pivotButton="0" quotePrefix="0" xfId="0">
      <alignment vertical="center" shrinkToFit="1"/>
    </xf>
    <xf numFmtId="164" fontId="2" fillId="0" borderId="0" applyAlignment="1" pivotButton="0" quotePrefix="0" xfId="0">
      <alignment vertical="center" shrinkToFit="1"/>
    </xf>
    <xf numFmtId="0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5" fontId="9" fillId="3" borderId="29" applyAlignment="1" pivotButton="0" quotePrefix="0" xfId="0">
      <alignment vertical="center"/>
    </xf>
    <xf numFmtId="166" fontId="0" fillId="3" borderId="30" applyAlignment="1" pivotButton="0" quotePrefix="0" xfId="0">
      <alignment vertical="center"/>
    </xf>
    <xf numFmtId="164" fontId="9" fillId="3" borderId="28" applyAlignment="1" pivotButton="0" quotePrefix="0" xfId="1">
      <alignment vertical="center"/>
    </xf>
    <xf numFmtId="164" fontId="9" fillId="3" borderId="29" applyAlignment="1" pivotButton="0" quotePrefix="0" xfId="1">
      <alignment vertical="center"/>
    </xf>
    <xf numFmtId="164" fontId="9" fillId="3" borderId="30" applyAlignment="1" pivotButton="0" quotePrefix="0" xfId="1">
      <alignment vertical="center"/>
    </xf>
    <xf numFmtId="164" fontId="9" fillId="0" borderId="31" applyAlignment="1" pivotButton="0" quotePrefix="0" xfId="1">
      <alignment vertical="center"/>
    </xf>
    <xf numFmtId="165" fontId="9" fillId="3" borderId="25" applyAlignment="1" pivotButton="0" quotePrefix="0" xfId="0">
      <alignment vertical="center"/>
    </xf>
    <xf numFmtId="166" fontId="9" fillId="3" borderId="17" applyAlignment="1" pivotButton="0" quotePrefix="0" xfId="1">
      <alignment vertical="center"/>
    </xf>
    <xf numFmtId="164" fontId="9" fillId="3" borderId="16" applyAlignment="1" pivotButton="0" quotePrefix="0" xfId="1">
      <alignment vertical="center"/>
    </xf>
    <xf numFmtId="164" fontId="9" fillId="3" borderId="25" applyAlignment="1" pivotButton="0" quotePrefix="0" xfId="1">
      <alignment vertical="center"/>
    </xf>
    <xf numFmtId="164" fontId="9" fillId="3" borderId="17" applyAlignment="1" pivotButton="0" quotePrefix="0" xfId="1">
      <alignment vertical="center"/>
    </xf>
    <xf numFmtId="164" fontId="9" fillId="0" borderId="15" applyAlignment="1" pivotButton="0" quotePrefix="0" xfId="1">
      <alignment vertical="center"/>
    </xf>
    <xf numFmtId="165" fontId="9" fillId="3" borderId="32" applyAlignment="1" pivotButton="0" quotePrefix="0" xfId="0">
      <alignment vertical="center"/>
    </xf>
    <xf numFmtId="166" fontId="9" fillId="3" borderId="19" applyAlignment="1" pivotButton="0" quotePrefix="0" xfId="1">
      <alignment vertical="center"/>
    </xf>
    <xf numFmtId="164" fontId="9" fillId="3" borderId="18" applyAlignment="1" pivotButton="0" quotePrefix="0" xfId="1">
      <alignment vertical="center"/>
    </xf>
    <xf numFmtId="164" fontId="9" fillId="3" borderId="32" applyAlignment="1" pivotButton="0" quotePrefix="0" xfId="1">
      <alignment vertical="center"/>
    </xf>
    <xf numFmtId="164" fontId="9" fillId="3" borderId="19" applyAlignment="1" pivotButton="0" quotePrefix="0" xfId="1">
      <alignment vertical="center"/>
    </xf>
    <xf numFmtId="164" fontId="9" fillId="0" borderId="26" applyAlignment="1" pivotButton="0" quotePrefix="0" xfId="1">
      <alignment vertical="center"/>
    </xf>
    <xf numFmtId="165" fontId="2" fillId="3" borderId="23" applyAlignment="1" pivotButton="0" quotePrefix="0" xfId="0">
      <alignment vertical="center"/>
    </xf>
    <xf numFmtId="166" fontId="2" fillId="3" borderId="4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164" fontId="2" fillId="3" borderId="23" applyAlignment="1" pivotButton="0" quotePrefix="0" xfId="0">
      <alignment vertical="center"/>
    </xf>
    <xf numFmtId="164" fontId="2" fillId="3" borderId="4" applyAlignment="1" pivotButton="0" quotePrefix="0" xfId="0">
      <alignment vertical="center"/>
    </xf>
    <xf numFmtId="165" fontId="2" fillId="3" borderId="25" applyAlignment="1" pivotButton="0" quotePrefix="0" xfId="0">
      <alignment vertical="center"/>
    </xf>
    <xf numFmtId="166" fontId="2" fillId="3" borderId="17" applyAlignment="1" pivotButton="0" quotePrefix="0" xfId="0">
      <alignment vertical="center"/>
    </xf>
    <xf numFmtId="164" fontId="2" fillId="3" borderId="16" applyAlignment="1" pivotButton="0" quotePrefix="0" xfId="0">
      <alignment vertical="center"/>
    </xf>
    <xf numFmtId="164" fontId="2" fillId="3" borderId="25" applyAlignment="1" pivotButton="0" quotePrefix="0" xfId="0">
      <alignment vertical="center"/>
    </xf>
    <xf numFmtId="164" fontId="2" fillId="3" borderId="17" applyAlignment="1" pivotButton="0" quotePrefix="0" xfId="0">
      <alignment vertical="center"/>
    </xf>
    <xf numFmtId="165" fontId="2" fillId="3" borderId="24" applyAlignment="1" pivotButton="0" quotePrefix="0" xfId="0">
      <alignment vertical="center"/>
    </xf>
    <xf numFmtId="166" fontId="2" fillId="3" borderId="9" applyAlignment="1" pivotButton="0" quotePrefix="0" xfId="0">
      <alignment vertical="center"/>
    </xf>
    <xf numFmtId="164" fontId="2" fillId="3" borderId="7" applyAlignment="1" pivotButton="0" quotePrefix="0" xfId="0">
      <alignment vertical="center"/>
    </xf>
    <xf numFmtId="164" fontId="2" fillId="3" borderId="24" applyAlignment="1" pivotButton="0" quotePrefix="0" xfId="0">
      <alignment vertical="center"/>
    </xf>
    <xf numFmtId="164" fontId="2" fillId="3" borderId="9" applyAlignment="1" pivotButton="0" quotePrefix="0" xfId="0">
      <alignment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902098\Desktop\&#65320;&#65298;7&#24037;&#36035;&#23455;&#32318;&#27096;&#2433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総括表"/>
      <sheetName val="個表"/>
      <sheetName val="記入例（総括表）"/>
      <sheetName val="記入例（個表）"/>
      <sheetName val="リスト"/>
    </sheetNames>
    <sheetDataSet>
      <sheetData sheetId="0"/>
      <sheetData sheetId="1"/>
      <sheetData sheetId="2"/>
      <sheetData sheetId="3"/>
      <sheetData sheetId="4">
        <row r="2">
          <cell r="C2" t="str">
            <v>身体</v>
          </cell>
        </row>
        <row r="3">
          <cell r="C3" t="str">
            <v>知的</v>
          </cell>
        </row>
        <row r="4">
          <cell r="C4" t="str">
            <v>精神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R633"/>
  <sheetViews>
    <sheetView tabSelected="1" view="pageBreakPreview" zoomScale="82" zoomScaleNormal="90" zoomScaleSheetLayoutView="82" workbookViewId="0">
      <pane ySplit="5" topLeftCell="A6" activePane="bottomLeft" state="frozen"/>
      <selection pane="bottomLeft" activeCell="M24" sqref="M24"/>
    </sheetView>
  </sheetViews>
  <sheetFormatPr baseColWidth="8" defaultRowHeight="13.5"/>
  <cols>
    <col width="5.625" customWidth="1" style="170" min="1" max="1"/>
    <col width="15.5" customWidth="1" style="170" min="2" max="2"/>
    <col width="7.75" customWidth="1" style="170" min="3" max="3"/>
    <col width="5.625" customWidth="1" style="170" min="4" max="4"/>
    <col width="8.375" customWidth="1" style="170" min="5" max="5"/>
    <col width="11.875" customWidth="1" style="170" min="6" max="6"/>
    <col width="12.125" customWidth="1" style="170" min="7" max="7"/>
    <col width="9.25" customWidth="1" style="170" min="8" max="9"/>
    <col width="12.125" customWidth="1" style="170" min="10" max="10"/>
    <col width="8.625" customWidth="1" style="170" min="11" max="12"/>
    <col width="20" customWidth="1" style="170" min="13" max="13"/>
    <col width="9" customWidth="1" style="170" min="14" max="16384"/>
  </cols>
  <sheetData>
    <row r="1" ht="19.5" customHeight="1" s="272">
      <c r="E1" s="171" t="inlineStr">
        <is>
          <t>令和</t>
        </is>
      </c>
      <c r="F1" s="172" t="n">
        <v>7</v>
      </c>
      <c r="G1" s="173" t="inlineStr">
        <is>
          <t>年度</t>
        </is>
      </c>
      <c r="H1" s="273" t="inlineStr">
        <is>
          <t>事業所名</t>
        </is>
      </c>
      <c r="I1" s="274" t="n"/>
      <c r="J1" s="167" t="inlineStr">
        <is>
          <t>ANELLA CAFE 大分店</t>
        </is>
      </c>
      <c r="K1" s="275" t="n"/>
      <c r="L1" s="275" t="n"/>
      <c r="M1" s="276" t="n"/>
    </row>
    <row r="2" ht="19.5" customHeight="1" s="272">
      <c r="E2" s="176" t="inlineStr">
        <is>
          <t>年間開所月数</t>
        </is>
      </c>
      <c r="F2" s="277" t="n"/>
      <c r="G2" s="169" t="n">
        <v>3</v>
      </c>
      <c r="H2" s="177" t="inlineStr">
        <is>
          <t>月</t>
        </is>
      </c>
      <c r="I2" s="176" t="inlineStr">
        <is>
          <t>年間開所日数</t>
        </is>
      </c>
      <c r="J2" s="277" t="n"/>
      <c r="K2" s="168" t="n">
        <v>76</v>
      </c>
      <c r="L2" s="178" t="inlineStr">
        <is>
          <t>日</t>
        </is>
      </c>
      <c r="M2" s="179" t="n"/>
    </row>
    <row r="3" ht="19.5" customHeight="1" s="272">
      <c r="A3" s="278" t="inlineStr">
        <is>
          <t>整理
番号</t>
        </is>
      </c>
      <c r="B3" s="279" t="inlineStr">
        <is>
          <t>利用者氏名</t>
        </is>
      </c>
      <c r="C3" s="280" t="inlineStr">
        <is>
          <t>障がい
種別</t>
        </is>
      </c>
      <c r="D3" s="281" t="inlineStr">
        <is>
          <t>利用状況</t>
        </is>
      </c>
      <c r="E3" s="282" t="n"/>
      <c r="F3" s="282" t="n"/>
      <c r="G3" s="283" t="inlineStr">
        <is>
          <t>支　　払　　工　　賃
【給与、賃金、手当その他名称を問わず利用者に支払った金銭】</t>
        </is>
      </c>
      <c r="H3" s="282" t="n"/>
      <c r="I3" s="282" t="n"/>
      <c r="J3" s="282" t="n"/>
      <c r="K3" s="282" t="n"/>
      <c r="L3" s="284" t="n"/>
      <c r="M3" s="285" t="inlineStr">
        <is>
          <t>備　　考
大きな増減理由
工賃支給がない理由
調整した理由　など</t>
        </is>
      </c>
    </row>
    <row r="4" ht="19.5" customHeight="1" s="272">
      <c r="A4" s="286" t="n"/>
      <c r="B4" s="287" t="n"/>
      <c r="C4" s="287" t="n"/>
      <c r="D4" s="288" t="n"/>
      <c r="E4" s="289" t="n"/>
      <c r="F4" s="289" t="n"/>
      <c r="G4" s="288" t="n"/>
      <c r="H4" s="289" t="n"/>
      <c r="I4" s="289" t="n"/>
      <c r="J4" s="289" t="n"/>
      <c r="K4" s="289" t="n"/>
      <c r="L4" s="274" t="n"/>
      <c r="M4" s="287" t="n"/>
    </row>
    <row r="5" ht="19.5" customHeight="1" s="272">
      <c r="A5" s="288" t="n"/>
      <c r="B5" s="290" t="n"/>
      <c r="C5" s="290" t="n"/>
      <c r="D5" s="199" t="inlineStr">
        <is>
          <t>月</t>
        </is>
      </c>
      <c r="E5" s="200" t="inlineStr">
        <is>
          <t>日数</t>
        </is>
      </c>
      <c r="F5" s="201" t="inlineStr">
        <is>
          <t>時間数</t>
        </is>
      </c>
      <c r="G5" s="199" t="inlineStr">
        <is>
          <t>基本額</t>
        </is>
      </c>
      <c r="H5" s="200" t="inlineStr">
        <is>
          <t>賞与等</t>
        </is>
      </c>
      <c r="I5" s="201" t="inlineStr">
        <is>
          <t>調整等</t>
        </is>
      </c>
      <c r="J5" s="202" t="inlineStr">
        <is>
          <t>支払額</t>
        </is>
      </c>
      <c r="K5" s="202" t="inlineStr">
        <is>
          <t>日額</t>
        </is>
      </c>
      <c r="L5" s="202" t="inlineStr">
        <is>
          <t>時間額</t>
        </is>
      </c>
      <c r="M5" s="290" t="n"/>
    </row>
    <row r="6" ht="15" customHeight="1" s="272">
      <c r="A6" s="291" t="n">
        <v>1</v>
      </c>
      <c r="B6" s="168" t="inlineStr">
        <is>
          <t>板井 優</t>
        </is>
      </c>
      <c r="C6" s="168" t="inlineStr">
        <is>
          <t>精神</t>
        </is>
      </c>
      <c r="D6" s="205" t="inlineStr">
        <is>
          <t>4月</t>
        </is>
      </c>
      <c r="E6" s="292" t="n"/>
      <c r="F6" s="293" t="n"/>
      <c r="G6" s="294" t="n"/>
      <c r="H6" s="295" t="n"/>
      <c r="I6" s="296" t="n"/>
      <c r="J6" s="297">
        <f>G6+H6+I6</f>
        <v/>
      </c>
      <c r="K6" s="297">
        <f>J6/E6</f>
        <v/>
      </c>
      <c r="L6" s="297">
        <f>J6/F6</f>
        <v/>
      </c>
      <c r="M6" s="151" t="n"/>
    </row>
    <row r="7" ht="15" customHeight="1" s="272">
      <c r="A7" s="287" t="n"/>
      <c r="B7" s="298" t="n"/>
      <c r="C7" s="298" t="n"/>
      <c r="D7" s="208" t="inlineStr">
        <is>
          <t>5月</t>
        </is>
      </c>
      <c r="E7" s="299" t="n"/>
      <c r="F7" s="300" t="n"/>
      <c r="G7" s="301" t="n"/>
      <c r="H7" s="302" t="n"/>
      <c r="I7" s="303" t="n"/>
      <c r="J7" s="304">
        <f>G7+H7+I7</f>
        <v/>
      </c>
      <c r="K7" s="304">
        <f>J7/E7</f>
        <v/>
      </c>
      <c r="L7" s="304">
        <f>J7/F7</f>
        <v/>
      </c>
      <c r="M7" s="158" t="n"/>
    </row>
    <row r="8" ht="15" customHeight="1" s="272">
      <c r="A8" s="287" t="n"/>
      <c r="B8" s="298" t="n"/>
      <c r="C8" s="298" t="n"/>
      <c r="D8" s="208" t="inlineStr">
        <is>
          <t>6月</t>
        </is>
      </c>
      <c r="E8" s="299" t="n"/>
      <c r="F8" s="300" t="n"/>
      <c r="G8" s="301" t="n"/>
      <c r="H8" s="302" t="n"/>
      <c r="I8" s="303" t="n"/>
      <c r="J8" s="304">
        <f>G8+H8+I8</f>
        <v/>
      </c>
      <c r="K8" s="304">
        <f>J8/E8</f>
        <v/>
      </c>
      <c r="L8" s="304">
        <f>J8/F8</f>
        <v/>
      </c>
      <c r="M8" s="158" t="n"/>
    </row>
    <row r="9" ht="15" customHeight="1" s="272">
      <c r="A9" s="287" t="n"/>
      <c r="B9" s="298" t="n"/>
      <c r="C9" s="298" t="n"/>
      <c r="D9" s="208" t="inlineStr">
        <is>
          <t>7月</t>
        </is>
      </c>
      <c r="E9" s="299" t="n"/>
      <c r="F9" s="300" t="n"/>
      <c r="G9" s="301" t="n"/>
      <c r="H9" s="302" t="n"/>
      <c r="I9" s="303" t="n"/>
      <c r="J9" s="304">
        <f>G9+H9+I9</f>
        <v/>
      </c>
      <c r="K9" s="304">
        <f>J9/E9</f>
        <v/>
      </c>
      <c r="L9" s="304">
        <f>J9/F9</f>
        <v/>
      </c>
      <c r="M9" s="158" t="n"/>
    </row>
    <row r="10" ht="15" customHeight="1" s="272">
      <c r="A10" s="287" t="n"/>
      <c r="B10" s="298" t="n"/>
      <c r="C10" s="298" t="n"/>
      <c r="D10" s="208" t="inlineStr">
        <is>
          <t>8月</t>
        </is>
      </c>
      <c r="E10" s="299" t="n"/>
      <c r="F10" s="300" t="n"/>
      <c r="G10" s="301" t="n"/>
      <c r="H10" s="302" t="n"/>
      <c r="I10" s="303" t="n"/>
      <c r="J10" s="304">
        <f>G10+H10+I10</f>
        <v/>
      </c>
      <c r="K10" s="304">
        <f>J10/E10</f>
        <v/>
      </c>
      <c r="L10" s="304">
        <f>J10/F10</f>
        <v/>
      </c>
      <c r="M10" s="158" t="n"/>
    </row>
    <row r="11" ht="15" customHeight="1" s="272">
      <c r="A11" s="287" t="n"/>
      <c r="B11" s="298" t="n"/>
      <c r="C11" s="298" t="n"/>
      <c r="D11" s="208" t="inlineStr">
        <is>
          <t>9月</t>
        </is>
      </c>
      <c r="E11" s="299" t="n"/>
      <c r="F11" s="300" t="n"/>
      <c r="G11" s="301" t="n"/>
      <c r="H11" s="302" t="n"/>
      <c r="I11" s="303" t="n"/>
      <c r="J11" s="304">
        <f>G11+H11+I11</f>
        <v/>
      </c>
      <c r="K11" s="304">
        <f>J11/E11</f>
        <v/>
      </c>
      <c r="L11" s="304">
        <f>J11/F11</f>
        <v/>
      </c>
      <c r="M11" s="158" t="n"/>
    </row>
    <row r="12" ht="15" customHeight="1" s="272">
      <c r="A12" s="287" t="n"/>
      <c r="B12" s="298" t="n"/>
      <c r="C12" s="298" t="n"/>
      <c r="D12" s="208" t="inlineStr">
        <is>
          <t>10月</t>
        </is>
      </c>
      <c r="E12" s="299" t="n"/>
      <c r="F12" s="300" t="n"/>
      <c r="G12" s="301" t="n"/>
      <c r="H12" s="302" t="n"/>
      <c r="I12" s="303" t="n"/>
      <c r="J12" s="304">
        <f>G12+H12+I12</f>
        <v/>
      </c>
      <c r="K12" s="304">
        <f>J12/E12</f>
        <v/>
      </c>
      <c r="L12" s="304">
        <f>J12/F12</f>
        <v/>
      </c>
      <c r="M12" s="158" t="n"/>
    </row>
    <row r="13" ht="15" customHeight="1" s="272">
      <c r="A13" s="287" t="n"/>
      <c r="B13" s="298" t="n"/>
      <c r="C13" s="298" t="n"/>
      <c r="D13" s="208" t="inlineStr">
        <is>
          <t>11月</t>
        </is>
      </c>
      <c r="E13" s="299" t="n"/>
      <c r="F13" s="300" t="n"/>
      <c r="G13" s="301" t="n"/>
      <c r="H13" s="302" t="n"/>
      <c r="I13" s="303" t="n"/>
      <c r="J13" s="304">
        <f>G13+H13+I13</f>
        <v/>
      </c>
      <c r="K13" s="304">
        <f>J13/E13</f>
        <v/>
      </c>
      <c r="L13" s="304">
        <f>J13/F13</f>
        <v/>
      </c>
      <c r="M13" s="158" t="n"/>
    </row>
    <row r="14" ht="15" customHeight="1" s="272">
      <c r="A14" s="287" t="n"/>
      <c r="B14" s="298" t="n"/>
      <c r="C14" s="298" t="n"/>
      <c r="D14" s="208" t="inlineStr">
        <is>
          <t>12月</t>
        </is>
      </c>
      <c r="E14" s="299" t="n"/>
      <c r="F14" s="300" t="n"/>
      <c r="G14" s="301" t="n"/>
      <c r="H14" s="302" t="n"/>
      <c r="I14" s="303" t="n"/>
      <c r="J14" s="304">
        <f>G14+H14+I14</f>
        <v/>
      </c>
      <c r="K14" s="304">
        <f>J14/E14</f>
        <v/>
      </c>
      <c r="L14" s="304">
        <f>J14/F14</f>
        <v/>
      </c>
      <c r="M14" s="158" t="n"/>
    </row>
    <row r="15" ht="15" customHeight="1" s="272">
      <c r="A15" s="287" t="n"/>
      <c r="B15" s="298" t="n"/>
      <c r="C15" s="298" t="n"/>
      <c r="D15" s="208" t="inlineStr">
        <is>
          <t>1月</t>
        </is>
      </c>
      <c r="E15" s="299" t="n">
        <v>6</v>
      </c>
      <c r="F15" s="300" t="n">
        <v>23.88</v>
      </c>
      <c r="G15" s="301" t="n">
        <v>8400</v>
      </c>
      <c r="H15" s="302" t="n"/>
      <c r="I15" s="303" t="n"/>
      <c r="J15" s="304">
        <f>G15+H15+I15</f>
        <v/>
      </c>
      <c r="K15" s="304">
        <f>J15/E15</f>
        <v/>
      </c>
      <c r="L15" s="304">
        <f>J15/F15</f>
        <v/>
      </c>
      <c r="M15" s="158" t="n"/>
    </row>
    <row r="16" ht="15" customHeight="1" s="272">
      <c r="A16" s="287" t="n"/>
      <c r="B16" s="298" t="n"/>
      <c r="C16" s="298" t="n"/>
      <c r="D16" s="208" t="inlineStr">
        <is>
          <t>2月</t>
        </is>
      </c>
      <c r="E16" s="299" t="n">
        <v>6</v>
      </c>
      <c r="F16" s="300" t="n">
        <v>23.7</v>
      </c>
      <c r="G16" s="301" t="n">
        <v>8400</v>
      </c>
      <c r="H16" s="302" t="n"/>
      <c r="I16" s="303" t="n"/>
      <c r="J16" s="304">
        <f>G16+H16+I16</f>
        <v/>
      </c>
      <c r="K16" s="304">
        <f>J16/E16</f>
        <v/>
      </c>
      <c r="L16" s="304">
        <f>J16/F16</f>
        <v/>
      </c>
      <c r="M16" s="158" t="n"/>
    </row>
    <row r="17" ht="15" customHeight="1" s="272">
      <c r="A17" s="290" t="n"/>
      <c r="B17" s="305" t="n"/>
      <c r="C17" s="305" t="n"/>
      <c r="D17" s="211" t="inlineStr">
        <is>
          <t>3月</t>
        </is>
      </c>
      <c r="E17" s="306" t="n">
        <v>5</v>
      </c>
      <c r="F17" s="307" t="n">
        <v>19.92</v>
      </c>
      <c r="G17" s="308" t="n">
        <v>7000</v>
      </c>
      <c r="H17" s="309" t="n"/>
      <c r="I17" s="310" t="n"/>
      <c r="J17" s="311">
        <f>G17+H17+I17</f>
        <v/>
      </c>
      <c r="K17" s="311">
        <f>J17/E17</f>
        <v/>
      </c>
      <c r="L17" s="311">
        <f>J17/F17</f>
        <v/>
      </c>
      <c r="M17" s="165" t="n"/>
    </row>
    <row r="18" ht="15" customHeight="1" s="272">
      <c r="A18" s="291" t="n">
        <v>2</v>
      </c>
      <c r="B18" s="168" t="inlineStr">
        <is>
          <t>岩本 瞳鈴</t>
        </is>
      </c>
      <c r="C18" s="168" t="inlineStr">
        <is>
          <t>精神</t>
        </is>
      </c>
      <c r="D18" s="205" t="inlineStr">
        <is>
          <t>4月</t>
        </is>
      </c>
      <c r="E18" s="292" t="n"/>
      <c r="F18" s="293" t="n"/>
      <c r="G18" s="294" t="n"/>
      <c r="H18" s="295" t="n"/>
      <c r="I18" s="296" t="n"/>
      <c r="J18" s="297">
        <f>G18+H18+I18</f>
        <v/>
      </c>
      <c r="K18" s="297">
        <f>J18/E18</f>
        <v/>
      </c>
      <c r="L18" s="297">
        <f>J18/F18</f>
        <v/>
      </c>
      <c r="M18" s="151" t="n"/>
    </row>
    <row r="19" ht="15" customHeight="1" s="272">
      <c r="A19" s="287" t="n"/>
      <c r="B19" s="298" t="n"/>
      <c r="C19" s="298" t="n"/>
      <c r="D19" s="208" t="inlineStr">
        <is>
          <t>5月</t>
        </is>
      </c>
      <c r="E19" s="299" t="n"/>
      <c r="F19" s="300" t="n"/>
      <c r="G19" s="301" t="n"/>
      <c r="H19" s="302" t="n"/>
      <c r="I19" s="303" t="n"/>
      <c r="J19" s="304">
        <f>G19+H19+I19</f>
        <v/>
      </c>
      <c r="K19" s="304">
        <f>J19/E19</f>
        <v/>
      </c>
      <c r="L19" s="304">
        <f>J19/F19</f>
        <v/>
      </c>
      <c r="M19" s="158" t="n"/>
    </row>
    <row r="20" ht="15" customHeight="1" s="272">
      <c r="A20" s="287" t="n"/>
      <c r="B20" s="298" t="n"/>
      <c r="C20" s="298" t="n"/>
      <c r="D20" s="208" t="inlineStr">
        <is>
          <t>6月</t>
        </is>
      </c>
      <c r="E20" s="299" t="n"/>
      <c r="F20" s="300" t="n"/>
      <c r="G20" s="301" t="n"/>
      <c r="H20" s="302" t="n"/>
      <c r="I20" s="303" t="n"/>
      <c r="J20" s="304">
        <f>G20+H20+I20</f>
        <v/>
      </c>
      <c r="K20" s="304">
        <f>J20/E20</f>
        <v/>
      </c>
      <c r="L20" s="304">
        <f>J20/F20</f>
        <v/>
      </c>
      <c r="M20" s="158" t="n"/>
    </row>
    <row r="21" ht="15" customHeight="1" s="272">
      <c r="A21" s="287" t="n"/>
      <c r="B21" s="298" t="n"/>
      <c r="C21" s="298" t="n"/>
      <c r="D21" s="208" t="inlineStr">
        <is>
          <t>7月</t>
        </is>
      </c>
      <c r="E21" s="299" t="n"/>
      <c r="F21" s="300" t="n"/>
      <c r="G21" s="301" t="n"/>
      <c r="H21" s="302" t="n"/>
      <c r="I21" s="303" t="n"/>
      <c r="J21" s="304">
        <f>G21+H21+I21</f>
        <v/>
      </c>
      <c r="K21" s="304">
        <f>J21/E21</f>
        <v/>
      </c>
      <c r="L21" s="304">
        <f>J21/F21</f>
        <v/>
      </c>
      <c r="M21" s="158" t="n"/>
    </row>
    <row r="22" ht="15" customHeight="1" s="272">
      <c r="A22" s="287" t="n"/>
      <c r="B22" s="298" t="n"/>
      <c r="C22" s="298" t="n"/>
      <c r="D22" s="208" t="inlineStr">
        <is>
          <t>8月</t>
        </is>
      </c>
      <c r="E22" s="299" t="n"/>
      <c r="F22" s="300" t="n"/>
      <c r="G22" s="301" t="n"/>
      <c r="H22" s="302" t="n"/>
      <c r="I22" s="303" t="n"/>
      <c r="J22" s="304">
        <f>G22+H22+I22</f>
        <v/>
      </c>
      <c r="K22" s="304">
        <f>J22/E22</f>
        <v/>
      </c>
      <c r="L22" s="304">
        <f>J22/F22</f>
        <v/>
      </c>
      <c r="M22" s="158" t="n"/>
    </row>
    <row r="23" ht="15" customHeight="1" s="272">
      <c r="A23" s="287" t="n"/>
      <c r="B23" s="298" t="n"/>
      <c r="C23" s="298" t="n"/>
      <c r="D23" s="208" t="inlineStr">
        <is>
          <t>9月</t>
        </is>
      </c>
      <c r="E23" s="299" t="n"/>
      <c r="F23" s="300" t="n"/>
      <c r="G23" s="301" t="n"/>
      <c r="H23" s="302" t="n"/>
      <c r="I23" s="303" t="n"/>
      <c r="J23" s="304">
        <f>G23+H23+I23</f>
        <v/>
      </c>
      <c r="K23" s="304">
        <f>J23/E23</f>
        <v/>
      </c>
      <c r="L23" s="304">
        <f>J23/F23</f>
        <v/>
      </c>
      <c r="M23" s="158" t="n"/>
    </row>
    <row r="24" ht="15" customHeight="1" s="272">
      <c r="A24" s="287" t="n"/>
      <c r="B24" s="298" t="n"/>
      <c r="C24" s="298" t="n"/>
      <c r="D24" s="208" t="inlineStr">
        <is>
          <t>10月</t>
        </is>
      </c>
      <c r="E24" s="299" t="n"/>
      <c r="F24" s="300" t="n"/>
      <c r="G24" s="301" t="n"/>
      <c r="H24" s="302" t="n"/>
      <c r="I24" s="303" t="n"/>
      <c r="J24" s="304">
        <f>G24+H24+I24</f>
        <v/>
      </c>
      <c r="K24" s="304">
        <f>J24/E24</f>
        <v/>
      </c>
      <c r="L24" s="304">
        <f>J24/F24</f>
        <v/>
      </c>
      <c r="M24" s="158" t="n"/>
    </row>
    <row r="25" ht="15" customHeight="1" s="272">
      <c r="A25" s="287" t="n"/>
      <c r="B25" s="298" t="n"/>
      <c r="C25" s="298" t="n"/>
      <c r="D25" s="208" t="inlineStr">
        <is>
          <t>11月</t>
        </is>
      </c>
      <c r="E25" s="299" t="n"/>
      <c r="F25" s="300" t="n"/>
      <c r="G25" s="301" t="n"/>
      <c r="H25" s="302" t="n"/>
      <c r="I25" s="303" t="n"/>
      <c r="J25" s="304">
        <f>G25+H25+I25</f>
        <v/>
      </c>
      <c r="K25" s="304">
        <f>J25/E25</f>
        <v/>
      </c>
      <c r="L25" s="304">
        <f>J25/F25</f>
        <v/>
      </c>
      <c r="M25" s="158" t="n"/>
    </row>
    <row r="26" ht="15" customHeight="1" s="272">
      <c r="A26" s="287" t="n"/>
      <c r="B26" s="298" t="n"/>
      <c r="C26" s="298" t="n"/>
      <c r="D26" s="208" t="inlineStr">
        <is>
          <t>12月</t>
        </is>
      </c>
      <c r="E26" s="299" t="n"/>
      <c r="F26" s="300" t="n"/>
      <c r="G26" s="301" t="n"/>
      <c r="H26" s="302" t="n"/>
      <c r="I26" s="303" t="n"/>
      <c r="J26" s="304">
        <f>G26+H26+I26</f>
        <v/>
      </c>
      <c r="K26" s="304">
        <f>J26/E26</f>
        <v/>
      </c>
      <c r="L26" s="304">
        <f>J26/F26</f>
        <v/>
      </c>
      <c r="M26" s="158" t="n"/>
    </row>
    <row r="27" ht="15" customHeight="1" s="272">
      <c r="A27" s="287" t="n"/>
      <c r="B27" s="298" t="n"/>
      <c r="C27" s="298" t="n"/>
      <c r="D27" s="208" t="inlineStr">
        <is>
          <t>1月</t>
        </is>
      </c>
      <c r="E27" s="299" t="n">
        <v>1</v>
      </c>
      <c r="F27" s="300" t="n">
        <v>4</v>
      </c>
      <c r="G27" s="301" t="n">
        <v>1400</v>
      </c>
      <c r="H27" s="302" t="n"/>
      <c r="I27" s="303" t="n"/>
      <c r="J27" s="304">
        <f>G27+H27+I27</f>
        <v/>
      </c>
      <c r="K27" s="304">
        <f>J27/E27</f>
        <v/>
      </c>
      <c r="L27" s="304">
        <f>J27/F27</f>
        <v/>
      </c>
      <c r="M27" s="158" t="n"/>
    </row>
    <row r="28" ht="15" customHeight="1" s="272">
      <c r="A28" s="287" t="n"/>
      <c r="B28" s="298" t="n"/>
      <c r="C28" s="298" t="n"/>
      <c r="D28" s="208" t="inlineStr">
        <is>
          <t>2月</t>
        </is>
      </c>
      <c r="E28" s="299" t="n">
        <v>7</v>
      </c>
      <c r="F28" s="300" t="n">
        <v>19.12</v>
      </c>
      <c r="G28" s="301" t="n">
        <v>9450</v>
      </c>
      <c r="H28" s="302" t="n"/>
      <c r="I28" s="303" t="n"/>
      <c r="J28" s="304">
        <f>G28+H28+I28</f>
        <v/>
      </c>
      <c r="K28" s="304">
        <f>J28/E28</f>
        <v/>
      </c>
      <c r="L28" s="304">
        <f>J28/F28</f>
        <v/>
      </c>
      <c r="M28" s="158" t="n"/>
    </row>
    <row r="29" ht="15" customHeight="1" s="272">
      <c r="A29" s="290" t="n"/>
      <c r="B29" s="305" t="n"/>
      <c r="C29" s="305" t="n"/>
      <c r="D29" s="211" t="inlineStr">
        <is>
          <t>3月</t>
        </is>
      </c>
      <c r="E29" s="306" t="n">
        <v>8</v>
      </c>
      <c r="F29" s="307" t="n">
        <v>23.83</v>
      </c>
      <c r="G29" s="308" t="n">
        <v>11200</v>
      </c>
      <c r="H29" s="309" t="n"/>
      <c r="I29" s="310" t="n"/>
      <c r="J29" s="311">
        <f>G29+H29+I29</f>
        <v/>
      </c>
      <c r="K29" s="311">
        <f>J29/E29</f>
        <v/>
      </c>
      <c r="L29" s="311">
        <f>J29/F29</f>
        <v/>
      </c>
      <c r="M29" s="165" t="n"/>
    </row>
    <row r="30" ht="15" customHeight="1" s="272">
      <c r="A30" s="291" t="n">
        <v>3</v>
      </c>
      <c r="B30" s="168" t="inlineStr">
        <is>
          <t>老谷 千春</t>
        </is>
      </c>
      <c r="C30" s="168" t="inlineStr">
        <is>
          <t>精神</t>
        </is>
      </c>
      <c r="D30" s="205" t="inlineStr">
        <is>
          <t>4月</t>
        </is>
      </c>
      <c r="E30" s="292" t="n"/>
      <c r="F30" s="293" t="n"/>
      <c r="G30" s="294" t="n"/>
      <c r="H30" s="295" t="n"/>
      <c r="I30" s="296" t="n"/>
      <c r="J30" s="297">
        <f>G30+H30+I30</f>
        <v/>
      </c>
      <c r="K30" s="297">
        <f>J30/E30</f>
        <v/>
      </c>
      <c r="L30" s="297">
        <f>J30/F30</f>
        <v/>
      </c>
      <c r="M30" s="151" t="n"/>
    </row>
    <row r="31" ht="15" customHeight="1" s="272">
      <c r="A31" s="287" t="n"/>
      <c r="B31" s="298" t="n"/>
      <c r="C31" s="298" t="n"/>
      <c r="D31" s="208" t="inlineStr">
        <is>
          <t>5月</t>
        </is>
      </c>
      <c r="E31" s="299" t="n"/>
      <c r="F31" s="300" t="n"/>
      <c r="G31" s="301" t="n"/>
      <c r="H31" s="302" t="n"/>
      <c r="I31" s="303" t="n"/>
      <c r="J31" s="304">
        <f>G31+H31+I31</f>
        <v/>
      </c>
      <c r="K31" s="304">
        <f>J31/E31</f>
        <v/>
      </c>
      <c r="L31" s="304">
        <f>J31/F31</f>
        <v/>
      </c>
      <c r="M31" s="158" t="n"/>
    </row>
    <row r="32" ht="15" customHeight="1" s="272">
      <c r="A32" s="287" t="n"/>
      <c r="B32" s="298" t="n"/>
      <c r="C32" s="298" t="n"/>
      <c r="D32" s="208" t="inlineStr">
        <is>
          <t>6月</t>
        </is>
      </c>
      <c r="E32" s="299" t="n"/>
      <c r="F32" s="300" t="n"/>
      <c r="G32" s="301" t="n"/>
      <c r="H32" s="302" t="n"/>
      <c r="I32" s="303" t="n"/>
      <c r="J32" s="304">
        <f>G32+H32+I32</f>
        <v/>
      </c>
      <c r="K32" s="304">
        <f>J32/E32</f>
        <v/>
      </c>
      <c r="L32" s="304">
        <f>J32/F32</f>
        <v/>
      </c>
      <c r="M32" s="158" t="n"/>
    </row>
    <row r="33" ht="15" customHeight="1" s="272">
      <c r="A33" s="287" t="n"/>
      <c r="B33" s="298" t="n"/>
      <c r="C33" s="298" t="n"/>
      <c r="D33" s="208" t="inlineStr">
        <is>
          <t>7月</t>
        </is>
      </c>
      <c r="E33" s="299" t="n"/>
      <c r="F33" s="300" t="n"/>
      <c r="G33" s="301" t="n"/>
      <c r="H33" s="302" t="n"/>
      <c r="I33" s="303" t="n"/>
      <c r="J33" s="304">
        <f>G33+H33+I33</f>
        <v/>
      </c>
      <c r="K33" s="304">
        <f>J33/E33</f>
        <v/>
      </c>
      <c r="L33" s="304">
        <f>J33/F33</f>
        <v/>
      </c>
      <c r="M33" s="158" t="n"/>
    </row>
    <row r="34" ht="15" customHeight="1" s="272">
      <c r="A34" s="287" t="n"/>
      <c r="B34" s="298" t="n"/>
      <c r="C34" s="298" t="n"/>
      <c r="D34" s="208" t="inlineStr">
        <is>
          <t>8月</t>
        </is>
      </c>
      <c r="E34" s="299" t="n"/>
      <c r="F34" s="300" t="n"/>
      <c r="G34" s="301" t="n"/>
      <c r="H34" s="302" t="n"/>
      <c r="I34" s="303" t="n"/>
      <c r="J34" s="304">
        <f>G34+H34+I34</f>
        <v/>
      </c>
      <c r="K34" s="304">
        <f>J34/E34</f>
        <v/>
      </c>
      <c r="L34" s="304">
        <f>J34/F34</f>
        <v/>
      </c>
      <c r="M34" s="158" t="n"/>
    </row>
    <row r="35" ht="15" customHeight="1" s="272">
      <c r="A35" s="287" t="n"/>
      <c r="B35" s="298" t="n"/>
      <c r="C35" s="298" t="n"/>
      <c r="D35" s="208" t="inlineStr">
        <is>
          <t>9月</t>
        </is>
      </c>
      <c r="E35" s="299" t="n"/>
      <c r="F35" s="300" t="n"/>
      <c r="G35" s="301" t="n"/>
      <c r="H35" s="302" t="n"/>
      <c r="I35" s="303" t="n"/>
      <c r="J35" s="304">
        <f>G35+H35+I35</f>
        <v/>
      </c>
      <c r="K35" s="304">
        <f>J35/E35</f>
        <v/>
      </c>
      <c r="L35" s="304">
        <f>J35/F35</f>
        <v/>
      </c>
      <c r="M35" s="158" t="n"/>
    </row>
    <row r="36" ht="15" customHeight="1" s="272">
      <c r="A36" s="287" t="n"/>
      <c r="B36" s="298" t="n"/>
      <c r="C36" s="298" t="n"/>
      <c r="D36" s="208" t="inlineStr">
        <is>
          <t>10月</t>
        </is>
      </c>
      <c r="E36" s="299" t="n"/>
      <c r="F36" s="300" t="n"/>
      <c r="G36" s="301" t="n"/>
      <c r="H36" s="302" t="n"/>
      <c r="I36" s="303" t="n"/>
      <c r="J36" s="304">
        <f>G36+H36+I36</f>
        <v/>
      </c>
      <c r="K36" s="304">
        <f>J36/E36</f>
        <v/>
      </c>
      <c r="L36" s="304">
        <f>J36/F36</f>
        <v/>
      </c>
      <c r="M36" s="158" t="n"/>
    </row>
    <row r="37" ht="15" customHeight="1" s="272">
      <c r="A37" s="287" t="n"/>
      <c r="B37" s="298" t="n"/>
      <c r="C37" s="298" t="n"/>
      <c r="D37" s="208" t="inlineStr">
        <is>
          <t>11月</t>
        </is>
      </c>
      <c r="E37" s="299" t="n"/>
      <c r="F37" s="300" t="n"/>
      <c r="G37" s="301" t="n"/>
      <c r="H37" s="302" t="n"/>
      <c r="I37" s="303" t="n"/>
      <c r="J37" s="304">
        <f>G37+H37+I37</f>
        <v/>
      </c>
      <c r="K37" s="304">
        <f>J37/E37</f>
        <v/>
      </c>
      <c r="L37" s="304">
        <f>J37/F37</f>
        <v/>
      </c>
      <c r="M37" s="158" t="n"/>
    </row>
    <row r="38" ht="15" customHeight="1" s="272">
      <c r="A38" s="287" t="n"/>
      <c r="B38" s="298" t="n"/>
      <c r="C38" s="298" t="n"/>
      <c r="D38" s="208" t="inlineStr">
        <is>
          <t>12月</t>
        </is>
      </c>
      <c r="E38" s="299" t="n"/>
      <c r="F38" s="300" t="n"/>
      <c r="G38" s="301" t="n"/>
      <c r="H38" s="302" t="n"/>
      <c r="I38" s="303" t="n"/>
      <c r="J38" s="304">
        <f>G38+H38+I38</f>
        <v/>
      </c>
      <c r="K38" s="304">
        <f>J38/E38</f>
        <v/>
      </c>
      <c r="L38" s="304">
        <f>J38/F38</f>
        <v/>
      </c>
      <c r="M38" s="158" t="n"/>
    </row>
    <row r="39" ht="15" customHeight="1" s="272">
      <c r="A39" s="287" t="n"/>
      <c r="B39" s="298" t="n"/>
      <c r="C39" s="298" t="n"/>
      <c r="D39" s="208" t="inlineStr">
        <is>
          <t>1月</t>
        </is>
      </c>
      <c r="E39" s="299" t="n">
        <v>4</v>
      </c>
      <c r="F39" s="300" t="n">
        <v>15.88</v>
      </c>
      <c r="G39" s="301" t="n">
        <v>5600</v>
      </c>
      <c r="H39" s="302" t="n"/>
      <c r="I39" s="303" t="n"/>
      <c r="J39" s="304">
        <f>G39+H39+I39</f>
        <v/>
      </c>
      <c r="K39" s="304">
        <f>J39/E39</f>
        <v/>
      </c>
      <c r="L39" s="304">
        <f>J39/F39</f>
        <v/>
      </c>
      <c r="M39" s="158" t="n"/>
    </row>
    <row r="40" ht="15" customHeight="1" s="272">
      <c r="A40" s="287" t="n"/>
      <c r="B40" s="298" t="n"/>
      <c r="C40" s="298" t="n"/>
      <c r="D40" s="208" t="inlineStr">
        <is>
          <t>2月</t>
        </is>
      </c>
      <c r="E40" s="299" t="n">
        <v>9</v>
      </c>
      <c r="F40" s="300" t="n">
        <v>30</v>
      </c>
      <c r="G40" s="301" t="n">
        <v>13650</v>
      </c>
      <c r="H40" s="302" t="n"/>
      <c r="I40" s="303" t="n"/>
      <c r="J40" s="304">
        <f>G40+H40+I40</f>
        <v/>
      </c>
      <c r="K40" s="304">
        <f>J40/E40</f>
        <v/>
      </c>
      <c r="L40" s="304">
        <f>J40/F40</f>
        <v/>
      </c>
      <c r="M40" s="158" t="n"/>
    </row>
    <row r="41" ht="15" customHeight="1" s="272">
      <c r="A41" s="290" t="n"/>
      <c r="B41" s="305" t="n"/>
      <c r="C41" s="305" t="n"/>
      <c r="D41" s="211" t="inlineStr">
        <is>
          <t>3月</t>
        </is>
      </c>
      <c r="E41" s="306" t="n">
        <v>17</v>
      </c>
      <c r="F41" s="307" t="n">
        <v>65.05</v>
      </c>
      <c r="G41" s="308" t="n">
        <v>23100</v>
      </c>
      <c r="H41" s="309" t="n"/>
      <c r="I41" s="310" t="n"/>
      <c r="J41" s="311">
        <f>G41+H41+I41</f>
        <v/>
      </c>
      <c r="K41" s="311">
        <f>J41/E41</f>
        <v/>
      </c>
      <c r="L41" s="311">
        <f>J41/F41</f>
        <v/>
      </c>
      <c r="M41" s="165" t="n"/>
    </row>
    <row r="42" ht="15" customHeight="1" s="272">
      <c r="A42" s="291" t="n">
        <v>4</v>
      </c>
      <c r="B42" s="168" t="inlineStr">
        <is>
          <t>黒田 利江</t>
        </is>
      </c>
      <c r="C42" s="168" t="inlineStr">
        <is>
          <t>精神</t>
        </is>
      </c>
      <c r="D42" s="205" t="inlineStr">
        <is>
          <t>4月</t>
        </is>
      </c>
      <c r="E42" s="292" t="n"/>
      <c r="F42" s="293" t="n"/>
      <c r="G42" s="294" t="n"/>
      <c r="H42" s="295" t="n"/>
      <c r="I42" s="296" t="n"/>
      <c r="J42" s="297">
        <f>G42+H42+I42</f>
        <v/>
      </c>
      <c r="K42" s="297">
        <f>J42/E42</f>
        <v/>
      </c>
      <c r="L42" s="297">
        <f>J42/F42</f>
        <v/>
      </c>
      <c r="M42" s="151" t="n"/>
    </row>
    <row r="43" ht="15" customHeight="1" s="272">
      <c r="A43" s="287" t="n"/>
      <c r="B43" s="298" t="n"/>
      <c r="C43" s="298" t="n"/>
      <c r="D43" s="208" t="inlineStr">
        <is>
          <t>5月</t>
        </is>
      </c>
      <c r="E43" s="299" t="n"/>
      <c r="F43" s="300" t="n"/>
      <c r="G43" s="301" t="n"/>
      <c r="H43" s="302" t="n"/>
      <c r="I43" s="303" t="n"/>
      <c r="J43" s="304">
        <f>G43+H43+I43</f>
        <v/>
      </c>
      <c r="K43" s="304">
        <f>J43/E43</f>
        <v/>
      </c>
      <c r="L43" s="304">
        <f>J43/F43</f>
        <v/>
      </c>
      <c r="M43" s="158" t="n"/>
    </row>
    <row r="44" ht="15" customHeight="1" s="272">
      <c r="A44" s="287" t="n"/>
      <c r="B44" s="298" t="n"/>
      <c r="C44" s="298" t="n"/>
      <c r="D44" s="208" t="inlineStr">
        <is>
          <t>6月</t>
        </is>
      </c>
      <c r="E44" s="299" t="n"/>
      <c r="F44" s="300" t="n"/>
      <c r="G44" s="301" t="n"/>
      <c r="H44" s="302" t="n"/>
      <c r="I44" s="303" t="n"/>
      <c r="J44" s="304">
        <f>G44+H44+I44</f>
        <v/>
      </c>
      <c r="K44" s="304">
        <f>J44/E44</f>
        <v/>
      </c>
      <c r="L44" s="304">
        <f>J44/F44</f>
        <v/>
      </c>
      <c r="M44" s="158" t="n"/>
    </row>
    <row r="45" ht="15" customHeight="1" s="272">
      <c r="A45" s="287" t="n"/>
      <c r="B45" s="298" t="n"/>
      <c r="C45" s="298" t="n"/>
      <c r="D45" s="208" t="inlineStr">
        <is>
          <t>7月</t>
        </is>
      </c>
      <c r="E45" s="299" t="n"/>
      <c r="F45" s="300" t="n"/>
      <c r="G45" s="301" t="n"/>
      <c r="H45" s="302" t="n"/>
      <c r="I45" s="303" t="n"/>
      <c r="J45" s="304">
        <f>G45+H45+I45</f>
        <v/>
      </c>
      <c r="K45" s="304">
        <f>J45/E45</f>
        <v/>
      </c>
      <c r="L45" s="304">
        <f>J45/F45</f>
        <v/>
      </c>
      <c r="M45" s="158" t="n"/>
    </row>
    <row r="46" ht="15" customHeight="1" s="272">
      <c r="A46" s="287" t="n"/>
      <c r="B46" s="298" t="n"/>
      <c r="C46" s="298" t="n"/>
      <c r="D46" s="208" t="inlineStr">
        <is>
          <t>8月</t>
        </is>
      </c>
      <c r="E46" s="299" t="n"/>
      <c r="F46" s="300" t="n"/>
      <c r="G46" s="301" t="n"/>
      <c r="H46" s="302" t="n"/>
      <c r="I46" s="303" t="n"/>
      <c r="J46" s="304">
        <f>G46+H46+I46</f>
        <v/>
      </c>
      <c r="K46" s="304">
        <f>J46/E46</f>
        <v/>
      </c>
      <c r="L46" s="304">
        <f>J46/F46</f>
        <v/>
      </c>
      <c r="M46" s="158" t="n"/>
    </row>
    <row r="47" ht="15" customHeight="1" s="272">
      <c r="A47" s="287" t="n"/>
      <c r="B47" s="298" t="n"/>
      <c r="C47" s="298" t="n"/>
      <c r="D47" s="208" t="inlineStr">
        <is>
          <t>9月</t>
        </is>
      </c>
      <c r="E47" s="299" t="n"/>
      <c r="F47" s="300" t="n"/>
      <c r="G47" s="301" t="n"/>
      <c r="H47" s="302" t="n"/>
      <c r="I47" s="303" t="n"/>
      <c r="J47" s="304">
        <f>G47+H47+I47</f>
        <v/>
      </c>
      <c r="K47" s="304">
        <f>J47/E47</f>
        <v/>
      </c>
      <c r="L47" s="304">
        <f>J47/F47</f>
        <v/>
      </c>
      <c r="M47" s="158" t="n"/>
    </row>
    <row r="48" ht="15" customHeight="1" s="272">
      <c r="A48" s="287" t="n"/>
      <c r="B48" s="298" t="n"/>
      <c r="C48" s="298" t="n"/>
      <c r="D48" s="208" t="inlineStr">
        <is>
          <t>10月</t>
        </is>
      </c>
      <c r="E48" s="299" t="n"/>
      <c r="F48" s="300" t="n"/>
      <c r="G48" s="301" t="n"/>
      <c r="H48" s="302" t="n"/>
      <c r="I48" s="303" t="n"/>
      <c r="J48" s="304">
        <f>G48+H48+I48</f>
        <v/>
      </c>
      <c r="K48" s="304">
        <f>J48/E48</f>
        <v/>
      </c>
      <c r="L48" s="304">
        <f>J48/F48</f>
        <v/>
      </c>
      <c r="M48" s="158" t="n"/>
    </row>
    <row r="49" ht="15" customHeight="1" s="272">
      <c r="A49" s="287" t="n"/>
      <c r="B49" s="298" t="n"/>
      <c r="C49" s="298" t="n"/>
      <c r="D49" s="208" t="inlineStr">
        <is>
          <t>11月</t>
        </is>
      </c>
      <c r="E49" s="299" t="n"/>
      <c r="F49" s="300" t="n"/>
      <c r="G49" s="301" t="n"/>
      <c r="H49" s="302" t="n"/>
      <c r="I49" s="303" t="n"/>
      <c r="J49" s="304">
        <f>G49+H49+I49</f>
        <v/>
      </c>
      <c r="K49" s="304">
        <f>J49/E49</f>
        <v/>
      </c>
      <c r="L49" s="304">
        <f>J49/F49</f>
        <v/>
      </c>
      <c r="M49" s="158" t="n"/>
    </row>
    <row r="50" ht="15" customHeight="1" s="272">
      <c r="A50" s="287" t="n"/>
      <c r="B50" s="298" t="n"/>
      <c r="C50" s="298" t="n"/>
      <c r="D50" s="208" t="inlineStr">
        <is>
          <t>12月</t>
        </is>
      </c>
      <c r="E50" s="299" t="n"/>
      <c r="F50" s="300" t="n"/>
      <c r="G50" s="301" t="n"/>
      <c r="H50" s="302" t="n"/>
      <c r="I50" s="303" t="n"/>
      <c r="J50" s="304">
        <f>G50+H50+I50</f>
        <v/>
      </c>
      <c r="K50" s="304">
        <f>J50/E50</f>
        <v/>
      </c>
      <c r="L50" s="304">
        <f>J50/F50</f>
        <v/>
      </c>
      <c r="M50" s="158" t="n"/>
    </row>
    <row r="51" ht="15" customHeight="1" s="272">
      <c r="A51" s="287" t="n"/>
      <c r="B51" s="298" t="n"/>
      <c r="C51" s="298" t="n"/>
      <c r="D51" s="208" t="inlineStr">
        <is>
          <t>1月</t>
        </is>
      </c>
      <c r="E51" s="299" t="n">
        <v>8</v>
      </c>
      <c r="F51" s="300" t="n">
        <v>31.2</v>
      </c>
      <c r="G51" s="301" t="n">
        <v>11200</v>
      </c>
      <c r="H51" s="302" t="n"/>
      <c r="I51" s="303" t="n"/>
      <c r="J51" s="304">
        <f>G51+H51+I51</f>
        <v/>
      </c>
      <c r="K51" s="304">
        <f>J51/E51</f>
        <v/>
      </c>
      <c r="L51" s="304">
        <f>J51/F51</f>
        <v/>
      </c>
      <c r="M51" s="158" t="n"/>
    </row>
    <row r="52" ht="15" customHeight="1" s="272">
      <c r="A52" s="287" t="n"/>
      <c r="B52" s="298" t="n"/>
      <c r="C52" s="298" t="n"/>
      <c r="D52" s="208" t="inlineStr">
        <is>
          <t>2月</t>
        </is>
      </c>
      <c r="E52" s="299" t="n">
        <v>10</v>
      </c>
      <c r="F52" s="300" t="n">
        <v>36.83</v>
      </c>
      <c r="G52" s="301" t="n">
        <v>14000</v>
      </c>
      <c r="H52" s="302" t="n"/>
      <c r="I52" s="303" t="n"/>
      <c r="J52" s="304">
        <f>G52+H52+I52</f>
        <v/>
      </c>
      <c r="K52" s="304">
        <f>J52/E52</f>
        <v/>
      </c>
      <c r="L52" s="304">
        <f>J52/F52</f>
        <v/>
      </c>
      <c r="M52" s="158" t="n"/>
    </row>
    <row r="53" ht="15" customHeight="1" s="272">
      <c r="A53" s="290" t="n"/>
      <c r="B53" s="305" t="n"/>
      <c r="C53" s="305" t="n"/>
      <c r="D53" s="211" t="inlineStr">
        <is>
          <t>3月</t>
        </is>
      </c>
      <c r="E53" s="306" t="n">
        <v>3</v>
      </c>
      <c r="F53" s="307" t="n">
        <v>9.949999999999999</v>
      </c>
      <c r="G53" s="308" t="n">
        <v>3500</v>
      </c>
      <c r="H53" s="309" t="n"/>
      <c r="I53" s="310" t="n"/>
      <c r="J53" s="311">
        <f>G53+H53+I53</f>
        <v/>
      </c>
      <c r="K53" s="311">
        <f>J53/E53</f>
        <v/>
      </c>
      <c r="L53" s="311">
        <f>J53/F53</f>
        <v/>
      </c>
      <c r="M53" s="165" t="n"/>
    </row>
    <row r="54" ht="15" customHeight="1" s="272">
      <c r="A54" s="291" t="n">
        <v>5</v>
      </c>
      <c r="B54" s="168" t="inlineStr">
        <is>
          <t>後藤 好乃</t>
        </is>
      </c>
      <c r="C54" s="168" t="inlineStr">
        <is>
          <t>身体</t>
        </is>
      </c>
      <c r="D54" s="205" t="inlineStr">
        <is>
          <t>4月</t>
        </is>
      </c>
      <c r="E54" s="292" t="n"/>
      <c r="F54" s="293" t="n"/>
      <c r="G54" s="294" t="n"/>
      <c r="H54" s="295" t="n"/>
      <c r="I54" s="296" t="n"/>
      <c r="J54" s="297">
        <f>G54+H54+I54</f>
        <v/>
      </c>
      <c r="K54" s="297">
        <f>J54/E54</f>
        <v/>
      </c>
      <c r="L54" s="297">
        <f>J54/F54</f>
        <v/>
      </c>
      <c r="M54" s="151" t="n"/>
    </row>
    <row r="55" ht="15" customHeight="1" s="272">
      <c r="A55" s="287" t="n"/>
      <c r="B55" s="298" t="n"/>
      <c r="C55" s="298" t="n"/>
      <c r="D55" s="208" t="inlineStr">
        <is>
          <t>5月</t>
        </is>
      </c>
      <c r="E55" s="299" t="n"/>
      <c r="F55" s="300" t="n"/>
      <c r="G55" s="301" t="n"/>
      <c r="H55" s="302" t="n"/>
      <c r="I55" s="303" t="n"/>
      <c r="J55" s="304">
        <f>G55+H55+I55</f>
        <v/>
      </c>
      <c r="K55" s="304">
        <f>J55/E55</f>
        <v/>
      </c>
      <c r="L55" s="304">
        <f>J55/F55</f>
        <v/>
      </c>
      <c r="M55" s="158" t="n"/>
    </row>
    <row r="56" ht="15" customHeight="1" s="272">
      <c r="A56" s="287" t="n"/>
      <c r="B56" s="298" t="n"/>
      <c r="C56" s="298" t="n"/>
      <c r="D56" s="208" t="inlineStr">
        <is>
          <t>6月</t>
        </is>
      </c>
      <c r="E56" s="299" t="n"/>
      <c r="F56" s="300" t="n"/>
      <c r="G56" s="301" t="n"/>
      <c r="H56" s="302" t="n"/>
      <c r="I56" s="303" t="n"/>
      <c r="J56" s="304">
        <f>G56+H56+I56</f>
        <v/>
      </c>
      <c r="K56" s="304">
        <f>J56/E56</f>
        <v/>
      </c>
      <c r="L56" s="304">
        <f>J56/F56</f>
        <v/>
      </c>
      <c r="M56" s="158" t="n"/>
    </row>
    <row r="57" ht="15" customHeight="1" s="272">
      <c r="A57" s="287" t="n"/>
      <c r="B57" s="298" t="n"/>
      <c r="C57" s="298" t="n"/>
      <c r="D57" s="208" t="inlineStr">
        <is>
          <t>7月</t>
        </is>
      </c>
      <c r="E57" s="299" t="n"/>
      <c r="F57" s="300" t="n"/>
      <c r="G57" s="301" t="n"/>
      <c r="H57" s="302" t="n"/>
      <c r="I57" s="303" t="n"/>
      <c r="J57" s="304">
        <f>G57+H57+I57</f>
        <v/>
      </c>
      <c r="K57" s="304">
        <f>J57/E57</f>
        <v/>
      </c>
      <c r="L57" s="304">
        <f>J57/F57</f>
        <v/>
      </c>
      <c r="M57" s="158" t="n"/>
    </row>
    <row r="58" ht="15" customHeight="1" s="272">
      <c r="A58" s="287" t="n"/>
      <c r="B58" s="298" t="n"/>
      <c r="C58" s="298" t="n"/>
      <c r="D58" s="208" t="inlineStr">
        <is>
          <t>8月</t>
        </is>
      </c>
      <c r="E58" s="299" t="n"/>
      <c r="F58" s="300" t="n"/>
      <c r="G58" s="301" t="n"/>
      <c r="H58" s="302" t="n"/>
      <c r="I58" s="303" t="n"/>
      <c r="J58" s="304">
        <f>G58+H58+I58</f>
        <v/>
      </c>
      <c r="K58" s="304">
        <f>J58/E58</f>
        <v/>
      </c>
      <c r="L58" s="304">
        <f>J58/F58</f>
        <v/>
      </c>
      <c r="M58" s="158" t="n"/>
    </row>
    <row r="59" ht="15" customHeight="1" s="272">
      <c r="A59" s="287" t="n"/>
      <c r="B59" s="298" t="n"/>
      <c r="C59" s="298" t="n"/>
      <c r="D59" s="208" t="inlineStr">
        <is>
          <t>9月</t>
        </is>
      </c>
      <c r="E59" s="299" t="n"/>
      <c r="F59" s="300" t="n"/>
      <c r="G59" s="301" t="n"/>
      <c r="H59" s="302" t="n"/>
      <c r="I59" s="303" t="n"/>
      <c r="J59" s="304">
        <f>G59+H59+I59</f>
        <v/>
      </c>
      <c r="K59" s="304">
        <f>J59/E59</f>
        <v/>
      </c>
      <c r="L59" s="304">
        <f>J59/F59</f>
        <v/>
      </c>
      <c r="M59" s="158" t="n"/>
    </row>
    <row r="60" ht="15" customHeight="1" s="272">
      <c r="A60" s="287" t="n"/>
      <c r="B60" s="298" t="n"/>
      <c r="C60" s="298" t="n"/>
      <c r="D60" s="208" t="inlineStr">
        <is>
          <t>10月</t>
        </is>
      </c>
      <c r="E60" s="299" t="n"/>
      <c r="F60" s="300" t="n"/>
      <c r="G60" s="301" t="n"/>
      <c r="H60" s="302" t="n"/>
      <c r="I60" s="303" t="n"/>
      <c r="J60" s="304">
        <f>G60+H60+I60</f>
        <v/>
      </c>
      <c r="K60" s="304">
        <f>J60/E60</f>
        <v/>
      </c>
      <c r="L60" s="304">
        <f>J60/F60</f>
        <v/>
      </c>
      <c r="M60" s="158" t="n"/>
    </row>
    <row r="61" ht="15" customHeight="1" s="272">
      <c r="A61" s="287" t="n"/>
      <c r="B61" s="298" t="n"/>
      <c r="C61" s="298" t="n"/>
      <c r="D61" s="208" t="inlineStr">
        <is>
          <t>11月</t>
        </is>
      </c>
      <c r="E61" s="299" t="n"/>
      <c r="F61" s="300" t="n"/>
      <c r="G61" s="301" t="n"/>
      <c r="H61" s="302" t="n"/>
      <c r="I61" s="303" t="n"/>
      <c r="J61" s="304">
        <f>G61+H61+I61</f>
        <v/>
      </c>
      <c r="K61" s="304">
        <f>J61/E61</f>
        <v/>
      </c>
      <c r="L61" s="304">
        <f>J61/F61</f>
        <v/>
      </c>
      <c r="M61" s="158" t="n"/>
    </row>
    <row r="62" ht="15" customHeight="1" s="272">
      <c r="A62" s="287" t="n"/>
      <c r="B62" s="298" t="n"/>
      <c r="C62" s="298" t="n"/>
      <c r="D62" s="208" t="inlineStr">
        <is>
          <t>12月</t>
        </is>
      </c>
      <c r="E62" s="299" t="n"/>
      <c r="F62" s="300" t="n"/>
      <c r="G62" s="301" t="n"/>
      <c r="H62" s="302" t="n"/>
      <c r="I62" s="303" t="n"/>
      <c r="J62" s="304">
        <f>G62+H62+I62</f>
        <v/>
      </c>
      <c r="K62" s="304">
        <f>J62/E62</f>
        <v/>
      </c>
      <c r="L62" s="304">
        <f>J62/F62</f>
        <v/>
      </c>
      <c r="M62" s="158" t="n"/>
    </row>
    <row r="63" ht="15" customHeight="1" s="272">
      <c r="A63" s="287" t="n"/>
      <c r="B63" s="298" t="n"/>
      <c r="C63" s="298" t="n"/>
      <c r="D63" s="208" t="inlineStr">
        <is>
          <t>1月</t>
        </is>
      </c>
      <c r="E63" s="299" t="n">
        <v>6</v>
      </c>
      <c r="F63" s="300" t="n">
        <v>23.75</v>
      </c>
      <c r="G63" s="301" t="n">
        <v>8400</v>
      </c>
      <c r="H63" s="302" t="n"/>
      <c r="I63" s="303" t="n"/>
      <c r="J63" s="304">
        <f>G63+H63+I63</f>
        <v/>
      </c>
      <c r="K63" s="304">
        <f>J63/E63</f>
        <v/>
      </c>
      <c r="L63" s="304">
        <f>J63/F63</f>
        <v/>
      </c>
      <c r="M63" s="158" t="n"/>
    </row>
    <row r="64" ht="15" customHeight="1" s="272">
      <c r="A64" s="287" t="n"/>
      <c r="B64" s="298" t="n"/>
      <c r="C64" s="298" t="n"/>
      <c r="D64" s="208" t="inlineStr">
        <is>
          <t>2月</t>
        </is>
      </c>
      <c r="E64" s="299" t="n">
        <v>7</v>
      </c>
      <c r="F64" s="300" t="n">
        <v>27.72</v>
      </c>
      <c r="G64" s="301" t="n">
        <v>9800</v>
      </c>
      <c r="H64" s="302" t="n"/>
      <c r="I64" s="303" t="n"/>
      <c r="J64" s="304">
        <f>G64+H64+I64</f>
        <v/>
      </c>
      <c r="K64" s="304">
        <f>J64/E64</f>
        <v/>
      </c>
      <c r="L64" s="304">
        <f>J64/F64</f>
        <v/>
      </c>
      <c r="M64" s="158" t="n"/>
    </row>
    <row r="65" ht="15" customHeight="1" s="272">
      <c r="A65" s="290" t="n"/>
      <c r="B65" s="305" t="n"/>
      <c r="C65" s="305" t="n"/>
      <c r="D65" s="211" t="inlineStr">
        <is>
          <t>3月</t>
        </is>
      </c>
      <c r="E65" s="306" t="n">
        <v>9</v>
      </c>
      <c r="F65" s="307" t="n">
        <v>35.87</v>
      </c>
      <c r="G65" s="308" t="n">
        <v>12600</v>
      </c>
      <c r="H65" s="309" t="n"/>
      <c r="I65" s="310" t="n"/>
      <c r="J65" s="311">
        <f>G65+H65+I65</f>
        <v/>
      </c>
      <c r="K65" s="311">
        <f>J65/E65</f>
        <v/>
      </c>
      <c r="L65" s="311">
        <f>J65/F65</f>
        <v/>
      </c>
      <c r="M65" s="165" t="n"/>
    </row>
    <row r="66" ht="15" customHeight="1" s="272">
      <c r="A66" s="291" t="n">
        <v>6</v>
      </c>
      <c r="B66" s="168" t="inlineStr">
        <is>
          <t>佐々木 寿江</t>
        </is>
      </c>
      <c r="C66" s="168" t="inlineStr">
        <is>
          <t>精神</t>
        </is>
      </c>
      <c r="D66" s="205" t="inlineStr">
        <is>
          <t>4月</t>
        </is>
      </c>
      <c r="E66" s="292" t="n"/>
      <c r="F66" s="293" t="n"/>
      <c r="G66" s="294" t="n"/>
      <c r="H66" s="295" t="n"/>
      <c r="I66" s="296" t="n"/>
      <c r="J66" s="297">
        <f>G66+H66+I66</f>
        <v/>
      </c>
      <c r="K66" s="297">
        <f>J66/E66</f>
        <v/>
      </c>
      <c r="L66" s="297">
        <f>J66/F66</f>
        <v/>
      </c>
      <c r="M66" s="151" t="n"/>
    </row>
    <row r="67" ht="15" customHeight="1" s="272">
      <c r="A67" s="287" t="n"/>
      <c r="B67" s="298" t="n"/>
      <c r="C67" s="298" t="n"/>
      <c r="D67" s="208" t="inlineStr">
        <is>
          <t>5月</t>
        </is>
      </c>
      <c r="E67" s="299" t="n"/>
      <c r="F67" s="300" t="n"/>
      <c r="G67" s="301" t="n"/>
      <c r="H67" s="302" t="n"/>
      <c r="I67" s="303" t="n"/>
      <c r="J67" s="304">
        <f>G67+H67+I67</f>
        <v/>
      </c>
      <c r="K67" s="304">
        <f>J67/E67</f>
        <v/>
      </c>
      <c r="L67" s="304">
        <f>J67/F67</f>
        <v/>
      </c>
      <c r="M67" s="158" t="n"/>
    </row>
    <row r="68" ht="15" customHeight="1" s="272">
      <c r="A68" s="287" t="n"/>
      <c r="B68" s="298" t="n"/>
      <c r="C68" s="298" t="n"/>
      <c r="D68" s="208" t="inlineStr">
        <is>
          <t>6月</t>
        </is>
      </c>
      <c r="E68" s="299" t="n"/>
      <c r="F68" s="300" t="n"/>
      <c r="G68" s="301" t="n"/>
      <c r="H68" s="302" t="n"/>
      <c r="I68" s="303" t="n"/>
      <c r="J68" s="304">
        <f>G68+H68+I68</f>
        <v/>
      </c>
      <c r="K68" s="304">
        <f>J68/E68</f>
        <v/>
      </c>
      <c r="L68" s="304">
        <f>J68/F68</f>
        <v/>
      </c>
      <c r="M68" s="158" t="n"/>
    </row>
    <row r="69" ht="15" customHeight="1" s="272">
      <c r="A69" s="287" t="n"/>
      <c r="B69" s="298" t="n"/>
      <c r="C69" s="298" t="n"/>
      <c r="D69" s="208" t="inlineStr">
        <is>
          <t>7月</t>
        </is>
      </c>
      <c r="E69" s="299" t="n"/>
      <c r="F69" s="300" t="n"/>
      <c r="G69" s="301" t="n"/>
      <c r="H69" s="302" t="n"/>
      <c r="I69" s="303" t="n"/>
      <c r="J69" s="304">
        <f>G69+H69+I69</f>
        <v/>
      </c>
      <c r="K69" s="304">
        <f>J69/E69</f>
        <v/>
      </c>
      <c r="L69" s="304">
        <f>J69/F69</f>
        <v/>
      </c>
      <c r="M69" s="158" t="n"/>
    </row>
    <row r="70" ht="15" customHeight="1" s="272">
      <c r="A70" s="287" t="n"/>
      <c r="B70" s="298" t="n"/>
      <c r="C70" s="298" t="n"/>
      <c r="D70" s="208" t="inlineStr">
        <is>
          <t>8月</t>
        </is>
      </c>
      <c r="E70" s="299" t="n"/>
      <c r="F70" s="300" t="n"/>
      <c r="G70" s="301" t="n"/>
      <c r="H70" s="302" t="n"/>
      <c r="I70" s="303" t="n"/>
      <c r="J70" s="304">
        <f>G70+H70+I70</f>
        <v/>
      </c>
      <c r="K70" s="304">
        <f>J70/E70</f>
        <v/>
      </c>
      <c r="L70" s="304">
        <f>J70/F70</f>
        <v/>
      </c>
      <c r="M70" s="158" t="n"/>
    </row>
    <row r="71" ht="15" customHeight="1" s="272">
      <c r="A71" s="287" t="n"/>
      <c r="B71" s="298" t="n"/>
      <c r="C71" s="298" t="n"/>
      <c r="D71" s="208" t="inlineStr">
        <is>
          <t>9月</t>
        </is>
      </c>
      <c r="E71" s="299" t="n"/>
      <c r="F71" s="300" t="n"/>
      <c r="G71" s="301" t="n"/>
      <c r="H71" s="302" t="n"/>
      <c r="I71" s="303" t="n"/>
      <c r="J71" s="304">
        <f>G71+H71+I71</f>
        <v/>
      </c>
      <c r="K71" s="304">
        <f>J71/E71</f>
        <v/>
      </c>
      <c r="L71" s="304">
        <f>J71/F71</f>
        <v/>
      </c>
      <c r="M71" s="158" t="n"/>
    </row>
    <row r="72" ht="15" customHeight="1" s="272">
      <c r="A72" s="287" t="n"/>
      <c r="B72" s="298" t="n"/>
      <c r="C72" s="298" t="n"/>
      <c r="D72" s="208" t="inlineStr">
        <is>
          <t>10月</t>
        </is>
      </c>
      <c r="E72" s="299" t="n"/>
      <c r="F72" s="300" t="n"/>
      <c r="G72" s="301" t="n"/>
      <c r="H72" s="302" t="n"/>
      <c r="I72" s="303" t="n"/>
      <c r="J72" s="304">
        <f>G72+H72+I72</f>
        <v/>
      </c>
      <c r="K72" s="304">
        <f>J72/E72</f>
        <v/>
      </c>
      <c r="L72" s="304">
        <f>J72/F72</f>
        <v/>
      </c>
      <c r="M72" s="158" t="n"/>
    </row>
    <row r="73" ht="15" customHeight="1" s="272">
      <c r="A73" s="287" t="n"/>
      <c r="B73" s="298" t="n"/>
      <c r="C73" s="298" t="n"/>
      <c r="D73" s="208" t="inlineStr">
        <is>
          <t>11月</t>
        </is>
      </c>
      <c r="E73" s="299" t="n"/>
      <c r="F73" s="300" t="n"/>
      <c r="G73" s="301" t="n"/>
      <c r="H73" s="302" t="n"/>
      <c r="I73" s="303" t="n"/>
      <c r="J73" s="304">
        <f>G73+H73+I73</f>
        <v/>
      </c>
      <c r="K73" s="304">
        <f>J73/E73</f>
        <v/>
      </c>
      <c r="L73" s="304">
        <f>J73/F73</f>
        <v/>
      </c>
      <c r="M73" s="158" t="n"/>
    </row>
    <row r="74" ht="15" customHeight="1" s="272">
      <c r="A74" s="287" t="n"/>
      <c r="B74" s="298" t="n"/>
      <c r="C74" s="298" t="n"/>
      <c r="D74" s="208" t="inlineStr">
        <is>
          <t>12月</t>
        </is>
      </c>
      <c r="E74" s="299" t="n"/>
      <c r="F74" s="300" t="n"/>
      <c r="G74" s="301" t="n"/>
      <c r="H74" s="302" t="n"/>
      <c r="I74" s="303" t="n"/>
      <c r="J74" s="304">
        <f>G74+H74+I74</f>
        <v/>
      </c>
      <c r="K74" s="304">
        <f>J74/E74</f>
        <v/>
      </c>
      <c r="L74" s="304">
        <f>J74/F74</f>
        <v/>
      </c>
      <c r="M74" s="158" t="n"/>
    </row>
    <row r="75" ht="15" customHeight="1" s="272">
      <c r="A75" s="287" t="n"/>
      <c r="B75" s="298" t="n"/>
      <c r="C75" s="298" t="n"/>
      <c r="D75" s="208" t="inlineStr">
        <is>
          <t>1月</t>
        </is>
      </c>
      <c r="E75" s="299" t="n">
        <v>1</v>
      </c>
      <c r="F75" s="300" t="n">
        <v>2</v>
      </c>
      <c r="G75" s="301" t="n">
        <v>700</v>
      </c>
      <c r="H75" s="302" t="n"/>
      <c r="I75" s="303" t="n"/>
      <c r="J75" s="304">
        <f>G75+H75+I75</f>
        <v/>
      </c>
      <c r="K75" s="304">
        <f>J75/E75</f>
        <v/>
      </c>
      <c r="L75" s="304">
        <f>J75/F75</f>
        <v/>
      </c>
      <c r="M75" s="158" t="n"/>
    </row>
    <row r="76" ht="15" customHeight="1" s="272">
      <c r="A76" s="287" t="n"/>
      <c r="B76" s="298" t="n"/>
      <c r="C76" s="298" t="n"/>
      <c r="D76" s="208" t="inlineStr">
        <is>
          <t>2月</t>
        </is>
      </c>
      <c r="E76" s="299" t="n">
        <v>1</v>
      </c>
      <c r="F76" s="300" t="n">
        <v>2</v>
      </c>
      <c r="G76" s="301" t="n">
        <v>350</v>
      </c>
      <c r="H76" s="302" t="n"/>
      <c r="I76" s="303" t="n"/>
      <c r="J76" s="304">
        <f>G76+H76+I76</f>
        <v/>
      </c>
      <c r="K76" s="304">
        <f>J76/E76</f>
        <v/>
      </c>
      <c r="L76" s="304">
        <f>J76/F76</f>
        <v/>
      </c>
      <c r="M76" s="158" t="n"/>
    </row>
    <row r="77" ht="15" customHeight="1" s="272">
      <c r="A77" s="290" t="n"/>
      <c r="B77" s="305" t="n"/>
      <c r="C77" s="305" t="n"/>
      <c r="D77" s="211" t="inlineStr">
        <is>
          <t>3月</t>
        </is>
      </c>
      <c r="E77" s="306" t="n"/>
      <c r="F77" s="307" t="n"/>
      <c r="G77" s="308" t="n"/>
      <c r="H77" s="309" t="n"/>
      <c r="I77" s="310" t="n"/>
      <c r="J77" s="312">
        <f>G77+H77+I77</f>
        <v/>
      </c>
      <c r="K77" s="312">
        <f>J77/E77</f>
        <v/>
      </c>
      <c r="L77" s="312">
        <f>J77/F77</f>
        <v/>
      </c>
      <c r="M77" s="165" t="n"/>
    </row>
    <row r="78" ht="15" customHeight="1" s="272">
      <c r="A78" s="291" t="n">
        <v>7</v>
      </c>
      <c r="B78" s="168" t="inlineStr">
        <is>
          <t>塩月 実妃</t>
        </is>
      </c>
      <c r="C78" s="168" t="inlineStr">
        <is>
          <t>精神</t>
        </is>
      </c>
      <c r="D78" s="205" t="inlineStr">
        <is>
          <t>4月</t>
        </is>
      </c>
      <c r="E78" s="292" t="n"/>
      <c r="F78" s="293" t="n"/>
      <c r="G78" s="294" t="n"/>
      <c r="H78" s="295" t="n"/>
      <c r="I78" s="296" t="n"/>
      <c r="J78" s="297">
        <f>G78+H78+I78</f>
        <v/>
      </c>
      <c r="K78" s="297">
        <f>J78/E78</f>
        <v/>
      </c>
      <c r="L78" s="297">
        <f>J78/F78</f>
        <v/>
      </c>
      <c r="M78" s="151" t="n"/>
    </row>
    <row r="79" ht="15" customHeight="1" s="272">
      <c r="A79" s="287" t="n"/>
      <c r="B79" s="298" t="n"/>
      <c r="C79" s="298" t="n"/>
      <c r="D79" s="208" t="inlineStr">
        <is>
          <t>5月</t>
        </is>
      </c>
      <c r="E79" s="299" t="n"/>
      <c r="F79" s="300" t="n"/>
      <c r="G79" s="301" t="n"/>
      <c r="H79" s="302" t="n"/>
      <c r="I79" s="303" t="n"/>
      <c r="J79" s="304">
        <f>G79+H79+I79</f>
        <v/>
      </c>
      <c r="K79" s="304">
        <f>J79/E79</f>
        <v/>
      </c>
      <c r="L79" s="304">
        <f>J79/F79</f>
        <v/>
      </c>
      <c r="M79" s="158" t="n"/>
    </row>
    <row r="80" ht="15" customHeight="1" s="272">
      <c r="A80" s="287" t="n"/>
      <c r="B80" s="298" t="n"/>
      <c r="C80" s="298" t="n"/>
      <c r="D80" s="208" t="inlineStr">
        <is>
          <t>6月</t>
        </is>
      </c>
      <c r="E80" s="299" t="n"/>
      <c r="F80" s="300" t="n"/>
      <c r="G80" s="301" t="n"/>
      <c r="H80" s="302" t="n"/>
      <c r="I80" s="303" t="n"/>
      <c r="J80" s="304">
        <f>G80+H80+I80</f>
        <v/>
      </c>
      <c r="K80" s="304">
        <f>J80/E80</f>
        <v/>
      </c>
      <c r="L80" s="304">
        <f>J80/F80</f>
        <v/>
      </c>
      <c r="M80" s="158" t="n"/>
    </row>
    <row r="81" ht="15" customHeight="1" s="272">
      <c r="A81" s="287" t="n"/>
      <c r="B81" s="298" t="n"/>
      <c r="C81" s="298" t="n"/>
      <c r="D81" s="208" t="inlineStr">
        <is>
          <t>7月</t>
        </is>
      </c>
      <c r="E81" s="299" t="n"/>
      <c r="F81" s="300" t="n"/>
      <c r="G81" s="301" t="n"/>
      <c r="H81" s="302" t="n"/>
      <c r="I81" s="303" t="n"/>
      <c r="J81" s="304">
        <f>G81+H81+I81</f>
        <v/>
      </c>
      <c r="K81" s="304">
        <f>J81/E81</f>
        <v/>
      </c>
      <c r="L81" s="304">
        <f>J81/F81</f>
        <v/>
      </c>
      <c r="M81" s="158" t="n"/>
    </row>
    <row r="82" ht="15" customHeight="1" s="272">
      <c r="A82" s="287" t="n"/>
      <c r="B82" s="298" t="n"/>
      <c r="C82" s="298" t="n"/>
      <c r="D82" s="208" t="inlineStr">
        <is>
          <t>8月</t>
        </is>
      </c>
      <c r="E82" s="299" t="n"/>
      <c r="F82" s="300" t="n"/>
      <c r="G82" s="301" t="n"/>
      <c r="H82" s="302" t="n"/>
      <c r="I82" s="303" t="n"/>
      <c r="J82" s="304">
        <f>G82+H82+I82</f>
        <v/>
      </c>
      <c r="K82" s="304">
        <f>J82/E82</f>
        <v/>
      </c>
      <c r="L82" s="304">
        <f>J82/F82</f>
        <v/>
      </c>
      <c r="M82" s="158" t="n"/>
    </row>
    <row r="83" ht="15" customHeight="1" s="272">
      <c r="A83" s="287" t="n"/>
      <c r="B83" s="298" t="n"/>
      <c r="C83" s="298" t="n"/>
      <c r="D83" s="208" t="inlineStr">
        <is>
          <t>9月</t>
        </is>
      </c>
      <c r="E83" s="299" t="n"/>
      <c r="F83" s="300" t="n"/>
      <c r="G83" s="301" t="n"/>
      <c r="H83" s="302" t="n"/>
      <c r="I83" s="303" t="n"/>
      <c r="J83" s="304">
        <f>G83+H83+I83</f>
        <v/>
      </c>
      <c r="K83" s="304">
        <f>J83/E83</f>
        <v/>
      </c>
      <c r="L83" s="304">
        <f>J83/F83</f>
        <v/>
      </c>
      <c r="M83" s="158" t="n"/>
    </row>
    <row r="84" ht="15" customHeight="1" s="272">
      <c r="A84" s="287" t="n"/>
      <c r="B84" s="298" t="n"/>
      <c r="C84" s="298" t="n"/>
      <c r="D84" s="208" t="inlineStr">
        <is>
          <t>10月</t>
        </is>
      </c>
      <c r="E84" s="299" t="n"/>
      <c r="F84" s="300" t="n"/>
      <c r="G84" s="301" t="n"/>
      <c r="H84" s="302" t="n"/>
      <c r="I84" s="303" t="n"/>
      <c r="J84" s="304">
        <f>G84+H84+I84</f>
        <v/>
      </c>
      <c r="K84" s="304">
        <f>J84/E84</f>
        <v/>
      </c>
      <c r="L84" s="304">
        <f>J84/F84</f>
        <v/>
      </c>
      <c r="M84" s="158" t="n"/>
    </row>
    <row r="85" ht="15" customHeight="1" s="272">
      <c r="A85" s="287" t="n"/>
      <c r="B85" s="298" t="n"/>
      <c r="C85" s="298" t="n"/>
      <c r="D85" s="208" t="inlineStr">
        <is>
          <t>11月</t>
        </is>
      </c>
      <c r="E85" s="299" t="n"/>
      <c r="F85" s="300" t="n"/>
      <c r="G85" s="301" t="n"/>
      <c r="H85" s="302" t="n"/>
      <c r="I85" s="303" t="n"/>
      <c r="J85" s="304">
        <f>G85+H85+I85</f>
        <v/>
      </c>
      <c r="K85" s="304">
        <f>J85/E85</f>
        <v/>
      </c>
      <c r="L85" s="304">
        <f>J85/F85</f>
        <v/>
      </c>
      <c r="M85" s="158" t="n"/>
    </row>
    <row r="86" ht="15" customHeight="1" s="272">
      <c r="A86" s="287" t="n"/>
      <c r="B86" s="298" t="n"/>
      <c r="C86" s="298" t="n"/>
      <c r="D86" s="208" t="inlineStr">
        <is>
          <t>12月</t>
        </is>
      </c>
      <c r="E86" s="299" t="n"/>
      <c r="F86" s="300" t="n"/>
      <c r="G86" s="301" t="n"/>
      <c r="H86" s="302" t="n"/>
      <c r="I86" s="303" t="n"/>
      <c r="J86" s="304">
        <f>G86+H86+I86</f>
        <v/>
      </c>
      <c r="K86" s="304">
        <f>J86/E86</f>
        <v/>
      </c>
      <c r="L86" s="304">
        <f>J86/F86</f>
        <v/>
      </c>
      <c r="M86" s="158" t="n"/>
    </row>
    <row r="87" ht="15" customHeight="1" s="272">
      <c r="A87" s="287" t="n"/>
      <c r="B87" s="298" t="n"/>
      <c r="C87" s="298" t="n"/>
      <c r="D87" s="208" t="inlineStr">
        <is>
          <t>1月</t>
        </is>
      </c>
      <c r="E87" s="299" t="n">
        <v>4</v>
      </c>
      <c r="F87" s="300" t="n">
        <v>12.95</v>
      </c>
      <c r="G87" s="301" t="n">
        <v>5600</v>
      </c>
      <c r="H87" s="302" t="n"/>
      <c r="I87" s="303" t="n"/>
      <c r="J87" s="304">
        <f>G87+H87+I87</f>
        <v/>
      </c>
      <c r="K87" s="304">
        <f>J87/E87</f>
        <v/>
      </c>
      <c r="L87" s="304">
        <f>J87/F87</f>
        <v/>
      </c>
      <c r="M87" s="158" t="n"/>
    </row>
    <row r="88" ht="15" customHeight="1" s="272">
      <c r="A88" s="287" t="n"/>
      <c r="B88" s="298" t="n"/>
      <c r="C88" s="298" t="n"/>
      <c r="D88" s="208" t="inlineStr">
        <is>
          <t>2月</t>
        </is>
      </c>
      <c r="E88" s="299" t="n">
        <v>9</v>
      </c>
      <c r="F88" s="300" t="n">
        <v>26.88</v>
      </c>
      <c r="G88" s="301" t="n">
        <v>12600</v>
      </c>
      <c r="H88" s="302" t="n"/>
      <c r="I88" s="303" t="n"/>
      <c r="J88" s="304">
        <f>G88+H88+I88</f>
        <v/>
      </c>
      <c r="K88" s="304">
        <f>J88/E88</f>
        <v/>
      </c>
      <c r="L88" s="304">
        <f>J88/F88</f>
        <v/>
      </c>
      <c r="M88" s="158" t="n"/>
    </row>
    <row r="89" ht="15" customHeight="1" s="272">
      <c r="A89" s="290" t="n"/>
      <c r="B89" s="305" t="n"/>
      <c r="C89" s="305" t="n"/>
      <c r="D89" s="211" t="inlineStr">
        <is>
          <t>3月</t>
        </is>
      </c>
      <c r="E89" s="306" t="n">
        <v>12</v>
      </c>
      <c r="F89" s="307" t="n">
        <v>36.18</v>
      </c>
      <c r="G89" s="308" t="n">
        <v>16800</v>
      </c>
      <c r="H89" s="309" t="n"/>
      <c r="I89" s="310" t="n"/>
      <c r="J89" s="311">
        <f>G89+H89+I89</f>
        <v/>
      </c>
      <c r="K89" s="311">
        <f>J89/E89</f>
        <v/>
      </c>
      <c r="L89" s="311">
        <f>J89/F89</f>
        <v/>
      </c>
      <c r="M89" s="165" t="n"/>
    </row>
    <row r="90" ht="15" customHeight="1" s="272">
      <c r="A90" s="291" t="n">
        <v>8</v>
      </c>
      <c r="B90" s="168" t="inlineStr">
        <is>
          <t>廣瀬 律子</t>
        </is>
      </c>
      <c r="C90" s="168" t="inlineStr">
        <is>
          <t>精神</t>
        </is>
      </c>
      <c r="D90" s="205" t="inlineStr">
        <is>
          <t>4月</t>
        </is>
      </c>
      <c r="E90" s="292" t="n"/>
      <c r="F90" s="293" t="n"/>
      <c r="G90" s="294" t="n"/>
      <c r="H90" s="295" t="n"/>
      <c r="I90" s="296" t="n"/>
      <c r="J90" s="297">
        <f>G90+H90+I90</f>
        <v/>
      </c>
      <c r="K90" s="297">
        <f>J90/E90</f>
        <v/>
      </c>
      <c r="L90" s="297">
        <f>J90/F90</f>
        <v/>
      </c>
      <c r="M90" s="151" t="n"/>
    </row>
    <row r="91" ht="15" customHeight="1" s="272">
      <c r="A91" s="287" t="n"/>
      <c r="B91" s="298" t="n"/>
      <c r="C91" s="298" t="n"/>
      <c r="D91" s="208" t="inlineStr">
        <is>
          <t>5月</t>
        </is>
      </c>
      <c r="E91" s="299" t="n"/>
      <c r="F91" s="300" t="n"/>
      <c r="G91" s="301" t="n"/>
      <c r="H91" s="302" t="n"/>
      <c r="I91" s="303" t="n"/>
      <c r="J91" s="304">
        <f>G91+H91+I91</f>
        <v/>
      </c>
      <c r="K91" s="304">
        <f>J91/E91</f>
        <v/>
      </c>
      <c r="L91" s="304">
        <f>J91/F91</f>
        <v/>
      </c>
      <c r="M91" s="158" t="n"/>
    </row>
    <row r="92" ht="15" customHeight="1" s="272">
      <c r="A92" s="287" t="n"/>
      <c r="B92" s="298" t="n"/>
      <c r="C92" s="298" t="n"/>
      <c r="D92" s="208" t="inlineStr">
        <is>
          <t>6月</t>
        </is>
      </c>
      <c r="E92" s="299" t="n"/>
      <c r="F92" s="300" t="n"/>
      <c r="G92" s="301" t="n"/>
      <c r="H92" s="302" t="n"/>
      <c r="I92" s="303" t="n"/>
      <c r="J92" s="304">
        <f>G92+H92+I92</f>
        <v/>
      </c>
      <c r="K92" s="304">
        <f>J92/E92</f>
        <v/>
      </c>
      <c r="L92" s="304">
        <f>J92/F92</f>
        <v/>
      </c>
      <c r="M92" s="158" t="n"/>
    </row>
    <row r="93" ht="15" customHeight="1" s="272">
      <c r="A93" s="287" t="n"/>
      <c r="B93" s="298" t="n"/>
      <c r="C93" s="298" t="n"/>
      <c r="D93" s="208" t="inlineStr">
        <is>
          <t>7月</t>
        </is>
      </c>
      <c r="E93" s="299" t="n"/>
      <c r="F93" s="300" t="n"/>
      <c r="G93" s="301" t="n"/>
      <c r="H93" s="302" t="n"/>
      <c r="I93" s="303" t="n"/>
      <c r="J93" s="304">
        <f>G93+H93+I93</f>
        <v/>
      </c>
      <c r="K93" s="304">
        <f>J93/E93</f>
        <v/>
      </c>
      <c r="L93" s="304">
        <f>J93/F93</f>
        <v/>
      </c>
      <c r="M93" s="158" t="n"/>
    </row>
    <row r="94" ht="15" customHeight="1" s="272">
      <c r="A94" s="287" t="n"/>
      <c r="B94" s="298" t="n"/>
      <c r="C94" s="298" t="n"/>
      <c r="D94" s="208" t="inlineStr">
        <is>
          <t>8月</t>
        </is>
      </c>
      <c r="E94" s="299" t="n"/>
      <c r="F94" s="300" t="n"/>
      <c r="G94" s="301" t="n"/>
      <c r="H94" s="302" t="n"/>
      <c r="I94" s="303" t="n"/>
      <c r="J94" s="304">
        <f>G94+H94+I94</f>
        <v/>
      </c>
      <c r="K94" s="304">
        <f>J94/E94</f>
        <v/>
      </c>
      <c r="L94" s="304">
        <f>J94/F94</f>
        <v/>
      </c>
      <c r="M94" s="158" t="n"/>
    </row>
    <row r="95" ht="15" customHeight="1" s="272">
      <c r="A95" s="287" t="n"/>
      <c r="B95" s="298" t="n"/>
      <c r="C95" s="298" t="n"/>
      <c r="D95" s="208" t="inlineStr">
        <is>
          <t>9月</t>
        </is>
      </c>
      <c r="E95" s="299" t="n"/>
      <c r="F95" s="300" t="n"/>
      <c r="G95" s="301" t="n"/>
      <c r="H95" s="302" t="n"/>
      <c r="I95" s="303" t="n"/>
      <c r="J95" s="304">
        <f>G95+H95+I95</f>
        <v/>
      </c>
      <c r="K95" s="304">
        <f>J95/E95</f>
        <v/>
      </c>
      <c r="L95" s="304">
        <f>J95/F95</f>
        <v/>
      </c>
      <c r="M95" s="158" t="n"/>
    </row>
    <row r="96" ht="15" customHeight="1" s="272">
      <c r="A96" s="287" t="n"/>
      <c r="B96" s="298" t="n"/>
      <c r="C96" s="298" t="n"/>
      <c r="D96" s="208" t="inlineStr">
        <is>
          <t>10月</t>
        </is>
      </c>
      <c r="E96" s="299" t="n"/>
      <c r="F96" s="300" t="n"/>
      <c r="G96" s="301" t="n"/>
      <c r="H96" s="302" t="n"/>
      <c r="I96" s="303" t="n"/>
      <c r="J96" s="304">
        <f>G96+H96+I96</f>
        <v/>
      </c>
      <c r="K96" s="304">
        <f>J96/E96</f>
        <v/>
      </c>
      <c r="L96" s="304">
        <f>J96/F96</f>
        <v/>
      </c>
      <c r="M96" s="158" t="n"/>
    </row>
    <row r="97" ht="15" customHeight="1" s="272">
      <c r="A97" s="287" t="n"/>
      <c r="B97" s="298" t="n"/>
      <c r="C97" s="298" t="n"/>
      <c r="D97" s="208" t="inlineStr">
        <is>
          <t>11月</t>
        </is>
      </c>
      <c r="E97" s="299" t="n"/>
      <c r="F97" s="300" t="n"/>
      <c r="G97" s="301" t="n"/>
      <c r="H97" s="302" t="n"/>
      <c r="I97" s="303" t="n"/>
      <c r="J97" s="304">
        <f>G97+H97+I97</f>
        <v/>
      </c>
      <c r="K97" s="304">
        <f>J97/E97</f>
        <v/>
      </c>
      <c r="L97" s="304">
        <f>J97/F97</f>
        <v/>
      </c>
      <c r="M97" s="158" t="n"/>
    </row>
    <row r="98" ht="15" customHeight="1" s="272">
      <c r="A98" s="287" t="n"/>
      <c r="B98" s="298" t="n"/>
      <c r="C98" s="298" t="n"/>
      <c r="D98" s="208" t="inlineStr">
        <is>
          <t>12月</t>
        </is>
      </c>
      <c r="E98" s="299" t="n"/>
      <c r="F98" s="300" t="n"/>
      <c r="G98" s="301" t="n"/>
      <c r="H98" s="302" t="n"/>
      <c r="I98" s="303" t="n"/>
      <c r="J98" s="304">
        <f>G98+H98+I98</f>
        <v/>
      </c>
      <c r="K98" s="304">
        <f>J98/E98</f>
        <v/>
      </c>
      <c r="L98" s="304">
        <f>J98/F98</f>
        <v/>
      </c>
      <c r="M98" s="158" t="n"/>
    </row>
    <row r="99" ht="15" customHeight="1" s="272">
      <c r="A99" s="287" t="n"/>
      <c r="B99" s="298" t="n"/>
      <c r="C99" s="298" t="n"/>
      <c r="D99" s="208" t="inlineStr">
        <is>
          <t>1月</t>
        </is>
      </c>
      <c r="E99" s="299" t="n">
        <v>2</v>
      </c>
      <c r="F99" s="300" t="n">
        <v>7.97</v>
      </c>
      <c r="G99" s="301" t="n">
        <v>2800</v>
      </c>
      <c r="H99" s="302" t="n"/>
      <c r="I99" s="303" t="n"/>
      <c r="J99" s="304">
        <f>G99+H99+I99</f>
        <v/>
      </c>
      <c r="K99" s="304">
        <f>J99/E99</f>
        <v/>
      </c>
      <c r="L99" s="304">
        <f>J99/F99</f>
        <v/>
      </c>
      <c r="M99" s="158" t="n"/>
    </row>
    <row r="100" ht="15" customHeight="1" s="272">
      <c r="A100" s="287" t="n"/>
      <c r="B100" s="298" t="n"/>
      <c r="C100" s="298" t="n"/>
      <c r="D100" s="208" t="inlineStr">
        <is>
          <t>2月</t>
        </is>
      </c>
      <c r="E100" s="299" t="n">
        <v>3</v>
      </c>
      <c r="F100" s="300" t="n">
        <v>11.87</v>
      </c>
      <c r="G100" s="301" t="n">
        <v>5600</v>
      </c>
      <c r="H100" s="302" t="n"/>
      <c r="I100" s="303" t="n"/>
      <c r="J100" s="304">
        <f>G100+H100+I100</f>
        <v/>
      </c>
      <c r="K100" s="304">
        <f>J100/E100</f>
        <v/>
      </c>
      <c r="L100" s="304">
        <f>J100/F100</f>
        <v/>
      </c>
      <c r="M100" s="158" t="n"/>
    </row>
    <row r="101" ht="15" customHeight="1" s="272">
      <c r="A101" s="290" t="n"/>
      <c r="B101" s="305" t="n"/>
      <c r="C101" s="305" t="n"/>
      <c r="D101" s="211" t="inlineStr">
        <is>
          <t>3月</t>
        </is>
      </c>
      <c r="E101" s="306" t="n">
        <v>4</v>
      </c>
      <c r="F101" s="307" t="n">
        <v>15.65</v>
      </c>
      <c r="G101" s="308" t="n">
        <v>5600</v>
      </c>
      <c r="H101" s="309" t="n"/>
      <c r="I101" s="310" t="n"/>
      <c r="J101" s="311">
        <f>G101+H101+I101</f>
        <v/>
      </c>
      <c r="K101" s="311">
        <f>J101/E101</f>
        <v/>
      </c>
      <c r="L101" s="311">
        <f>J101/F101</f>
        <v/>
      </c>
      <c r="M101" s="165" t="n"/>
    </row>
    <row r="102" ht="15" customHeight="1" s="272">
      <c r="A102" s="291" t="n">
        <v>9</v>
      </c>
      <c r="B102" s="168" t="inlineStr">
        <is>
          <t>簗瀬 寛暁</t>
        </is>
      </c>
      <c r="C102" s="168" t="inlineStr">
        <is>
          <t>精神</t>
        </is>
      </c>
      <c r="D102" s="205" t="inlineStr">
        <is>
          <t>4月</t>
        </is>
      </c>
      <c r="E102" s="292" t="n"/>
      <c r="F102" s="293" t="n"/>
      <c r="G102" s="294" t="n"/>
      <c r="H102" s="295" t="n"/>
      <c r="I102" s="296" t="n"/>
      <c r="J102" s="297">
        <f>G102+H102+I102</f>
        <v/>
      </c>
      <c r="K102" s="297">
        <f>J102/E102</f>
        <v/>
      </c>
      <c r="L102" s="297">
        <f>J102/F102</f>
        <v/>
      </c>
      <c r="M102" s="151" t="n"/>
    </row>
    <row r="103" ht="15" customHeight="1" s="272">
      <c r="A103" s="287" t="n"/>
      <c r="B103" s="298" t="n"/>
      <c r="C103" s="298" t="n"/>
      <c r="D103" s="208" t="inlineStr">
        <is>
          <t>5月</t>
        </is>
      </c>
      <c r="E103" s="299" t="n"/>
      <c r="F103" s="300" t="n"/>
      <c r="G103" s="301" t="n"/>
      <c r="H103" s="302" t="n"/>
      <c r="I103" s="303" t="n"/>
      <c r="J103" s="304">
        <f>G103+H103+I103</f>
        <v/>
      </c>
      <c r="K103" s="304">
        <f>J103/E103</f>
        <v/>
      </c>
      <c r="L103" s="304">
        <f>J103/F103</f>
        <v/>
      </c>
      <c r="M103" s="158" t="n"/>
    </row>
    <row r="104" ht="15" customHeight="1" s="272">
      <c r="A104" s="287" t="n"/>
      <c r="B104" s="298" t="n"/>
      <c r="C104" s="298" t="n"/>
      <c r="D104" s="208" t="inlineStr">
        <is>
          <t>6月</t>
        </is>
      </c>
      <c r="E104" s="299" t="n"/>
      <c r="F104" s="300" t="n"/>
      <c r="G104" s="301" t="n"/>
      <c r="H104" s="302" t="n"/>
      <c r="I104" s="303" t="n"/>
      <c r="J104" s="304">
        <f>G104+H104+I104</f>
        <v/>
      </c>
      <c r="K104" s="304">
        <f>J104/E104</f>
        <v/>
      </c>
      <c r="L104" s="304">
        <f>J104/F104</f>
        <v/>
      </c>
      <c r="M104" s="158" t="n"/>
    </row>
    <row r="105" ht="15" customHeight="1" s="272">
      <c r="A105" s="287" t="n"/>
      <c r="B105" s="298" t="n"/>
      <c r="C105" s="298" t="n"/>
      <c r="D105" s="208" t="inlineStr">
        <is>
          <t>7月</t>
        </is>
      </c>
      <c r="E105" s="299" t="n"/>
      <c r="F105" s="300" t="n"/>
      <c r="G105" s="301" t="n"/>
      <c r="H105" s="302" t="n"/>
      <c r="I105" s="303" t="n"/>
      <c r="J105" s="304">
        <f>G105+H105+I105</f>
        <v/>
      </c>
      <c r="K105" s="304">
        <f>J105/E105</f>
        <v/>
      </c>
      <c r="L105" s="304">
        <f>J105/F105</f>
        <v/>
      </c>
      <c r="M105" s="158" t="n"/>
    </row>
    <row r="106" ht="15" customHeight="1" s="272">
      <c r="A106" s="287" t="n"/>
      <c r="B106" s="298" t="n"/>
      <c r="C106" s="298" t="n"/>
      <c r="D106" s="208" t="inlineStr">
        <is>
          <t>8月</t>
        </is>
      </c>
      <c r="E106" s="299" t="n"/>
      <c r="F106" s="300" t="n"/>
      <c r="G106" s="301" t="n"/>
      <c r="H106" s="302" t="n"/>
      <c r="I106" s="303" t="n"/>
      <c r="J106" s="304">
        <f>G106+H106+I106</f>
        <v/>
      </c>
      <c r="K106" s="304">
        <f>J106/E106</f>
        <v/>
      </c>
      <c r="L106" s="304">
        <f>J106/F106</f>
        <v/>
      </c>
      <c r="M106" s="158" t="n"/>
    </row>
    <row r="107" ht="15" customHeight="1" s="272">
      <c r="A107" s="287" t="n"/>
      <c r="B107" s="298" t="n"/>
      <c r="C107" s="298" t="n"/>
      <c r="D107" s="208" t="inlineStr">
        <is>
          <t>9月</t>
        </is>
      </c>
      <c r="E107" s="299" t="n"/>
      <c r="F107" s="300" t="n"/>
      <c r="G107" s="301" t="n"/>
      <c r="H107" s="302" t="n"/>
      <c r="I107" s="303" t="n"/>
      <c r="J107" s="304">
        <f>G107+H107+I107</f>
        <v/>
      </c>
      <c r="K107" s="304">
        <f>J107/E107</f>
        <v/>
      </c>
      <c r="L107" s="304">
        <f>J107/F107</f>
        <v/>
      </c>
      <c r="M107" s="158" t="n"/>
    </row>
    <row r="108" ht="15" customHeight="1" s="272">
      <c r="A108" s="287" t="n"/>
      <c r="B108" s="298" t="n"/>
      <c r="C108" s="298" t="n"/>
      <c r="D108" s="208" t="inlineStr">
        <is>
          <t>10月</t>
        </is>
      </c>
      <c r="E108" s="299" t="n"/>
      <c r="F108" s="300" t="n"/>
      <c r="G108" s="301" t="n"/>
      <c r="H108" s="302" t="n"/>
      <c r="I108" s="303" t="n"/>
      <c r="J108" s="304">
        <f>G108+H108+I108</f>
        <v/>
      </c>
      <c r="K108" s="304">
        <f>J108/E108</f>
        <v/>
      </c>
      <c r="L108" s="304">
        <f>J108/F108</f>
        <v/>
      </c>
      <c r="M108" s="158" t="n"/>
    </row>
    <row r="109" ht="15" customHeight="1" s="272">
      <c r="A109" s="287" t="n"/>
      <c r="B109" s="298" t="n"/>
      <c r="C109" s="298" t="n"/>
      <c r="D109" s="208" t="inlineStr">
        <is>
          <t>11月</t>
        </is>
      </c>
      <c r="E109" s="299" t="n"/>
      <c r="F109" s="300" t="n"/>
      <c r="G109" s="301" t="n"/>
      <c r="H109" s="302" t="n"/>
      <c r="I109" s="303" t="n"/>
      <c r="J109" s="304">
        <f>G109+H109+I109</f>
        <v/>
      </c>
      <c r="K109" s="304">
        <f>J109/E109</f>
        <v/>
      </c>
      <c r="L109" s="304">
        <f>J109/F109</f>
        <v/>
      </c>
      <c r="M109" s="158" t="n"/>
    </row>
    <row r="110" ht="15" customHeight="1" s="272">
      <c r="A110" s="287" t="n"/>
      <c r="B110" s="298" t="n"/>
      <c r="C110" s="298" t="n"/>
      <c r="D110" s="208" t="inlineStr">
        <is>
          <t>12月</t>
        </is>
      </c>
      <c r="E110" s="299" t="n"/>
      <c r="F110" s="300" t="n"/>
      <c r="G110" s="301" t="n"/>
      <c r="H110" s="302" t="n"/>
      <c r="I110" s="303" t="n"/>
      <c r="J110" s="304">
        <f>G110+H110+I110</f>
        <v/>
      </c>
      <c r="K110" s="304">
        <f>J110/E110</f>
        <v/>
      </c>
      <c r="L110" s="304">
        <f>J110/F110</f>
        <v/>
      </c>
      <c r="M110" s="158" t="n"/>
    </row>
    <row r="111" ht="15" customHeight="1" s="272">
      <c r="A111" s="287" t="n"/>
      <c r="B111" s="298" t="n"/>
      <c r="C111" s="298" t="n"/>
      <c r="D111" s="208" t="inlineStr">
        <is>
          <t>1月</t>
        </is>
      </c>
      <c r="E111" s="299" t="n">
        <v>12</v>
      </c>
      <c r="F111" s="300" t="n">
        <v>21.88</v>
      </c>
      <c r="G111" s="301" t="n">
        <v>8400</v>
      </c>
      <c r="H111" s="302" t="n"/>
      <c r="I111" s="303" t="n"/>
      <c r="J111" s="304">
        <f>G111+H111+I111</f>
        <v/>
      </c>
      <c r="K111" s="304">
        <f>J111/E111</f>
        <v/>
      </c>
      <c r="L111" s="304">
        <f>J111/F111</f>
        <v/>
      </c>
      <c r="M111" s="158" t="n"/>
    </row>
    <row r="112" ht="15" customHeight="1" s="272">
      <c r="A112" s="287" t="n"/>
      <c r="B112" s="298" t="n"/>
      <c r="C112" s="298" t="n"/>
      <c r="D112" s="208" t="inlineStr">
        <is>
          <t>2月</t>
        </is>
      </c>
      <c r="E112" s="299" t="n">
        <v>9</v>
      </c>
      <c r="F112" s="300" t="n">
        <v>15.9</v>
      </c>
      <c r="G112" s="301" t="n">
        <v>6300</v>
      </c>
      <c r="H112" s="302" t="n"/>
      <c r="I112" s="303" t="n"/>
      <c r="J112" s="304">
        <f>G112+H112+I112</f>
        <v/>
      </c>
      <c r="K112" s="304">
        <f>J112/E112</f>
        <v/>
      </c>
      <c r="L112" s="304">
        <f>J112/F112</f>
        <v/>
      </c>
      <c r="M112" s="158" t="n"/>
    </row>
    <row r="113" ht="15" customHeight="1" s="272">
      <c r="A113" s="290" t="n"/>
      <c r="B113" s="305" t="n"/>
      <c r="C113" s="305" t="n"/>
      <c r="D113" s="211" t="inlineStr">
        <is>
          <t>3月</t>
        </is>
      </c>
      <c r="E113" s="306" t="n">
        <v>12</v>
      </c>
      <c r="F113" s="307" t="n">
        <v>24</v>
      </c>
      <c r="G113" s="308" t="n">
        <v>8400</v>
      </c>
      <c r="H113" s="309" t="n"/>
      <c r="I113" s="310" t="n"/>
      <c r="J113" s="311">
        <f>G113+H113+I113</f>
        <v/>
      </c>
      <c r="K113" s="311">
        <f>J113/E113</f>
        <v/>
      </c>
      <c r="L113" s="311">
        <f>J113/F113</f>
        <v/>
      </c>
      <c r="M113" s="165" t="n"/>
    </row>
    <row r="114" ht="15" customHeight="1" s="272">
      <c r="A114" s="291" t="n">
        <v>10</v>
      </c>
      <c r="B114" s="168" t="inlineStr">
        <is>
          <t>衛藤 健太</t>
        </is>
      </c>
      <c r="C114" s="168" t="inlineStr">
        <is>
          <t>精神</t>
        </is>
      </c>
      <c r="D114" s="205" t="inlineStr">
        <is>
          <t>4月</t>
        </is>
      </c>
      <c r="E114" s="292" t="n"/>
      <c r="F114" s="293" t="n"/>
      <c r="G114" s="294" t="n"/>
      <c r="H114" s="295" t="n"/>
      <c r="I114" s="296" t="n"/>
      <c r="J114" s="297">
        <f>G114+H114+I114</f>
        <v/>
      </c>
      <c r="K114" s="297">
        <f>J114/E114</f>
        <v/>
      </c>
      <c r="L114" s="297">
        <f>J114/F114</f>
        <v/>
      </c>
      <c r="M114" s="151" t="n"/>
    </row>
    <row r="115" ht="15" customHeight="1" s="272">
      <c r="A115" s="287" t="n"/>
      <c r="B115" s="298" t="n"/>
      <c r="C115" s="298" t="n"/>
      <c r="D115" s="208" t="inlineStr">
        <is>
          <t>5月</t>
        </is>
      </c>
      <c r="E115" s="299" t="n"/>
      <c r="F115" s="300" t="n"/>
      <c r="G115" s="301" t="n"/>
      <c r="H115" s="302" t="n"/>
      <c r="I115" s="303" t="n"/>
      <c r="J115" s="304">
        <f>G115+H115+I115</f>
        <v/>
      </c>
      <c r="K115" s="304">
        <f>J115/E115</f>
        <v/>
      </c>
      <c r="L115" s="304">
        <f>J115/F115</f>
        <v/>
      </c>
      <c r="M115" s="158" t="n"/>
    </row>
    <row r="116" ht="15" customHeight="1" s="272">
      <c r="A116" s="287" t="n"/>
      <c r="B116" s="298" t="n"/>
      <c r="C116" s="298" t="n"/>
      <c r="D116" s="208" t="inlineStr">
        <is>
          <t>6月</t>
        </is>
      </c>
      <c r="E116" s="299" t="n"/>
      <c r="F116" s="300" t="n"/>
      <c r="G116" s="301" t="n"/>
      <c r="H116" s="302" t="n"/>
      <c r="I116" s="303" t="n"/>
      <c r="J116" s="304">
        <f>G116+H116+I116</f>
        <v/>
      </c>
      <c r="K116" s="304">
        <f>J116/E116</f>
        <v/>
      </c>
      <c r="L116" s="304">
        <f>J116/F116</f>
        <v/>
      </c>
      <c r="M116" s="158" t="n"/>
    </row>
    <row r="117" ht="15" customHeight="1" s="272">
      <c r="A117" s="287" t="n"/>
      <c r="B117" s="298" t="n"/>
      <c r="C117" s="298" t="n"/>
      <c r="D117" s="208" t="inlineStr">
        <is>
          <t>7月</t>
        </is>
      </c>
      <c r="E117" s="299" t="n"/>
      <c r="F117" s="300" t="n"/>
      <c r="G117" s="301" t="n"/>
      <c r="H117" s="302" t="n"/>
      <c r="I117" s="303" t="n"/>
      <c r="J117" s="304">
        <f>G117+H117+I117</f>
        <v/>
      </c>
      <c r="K117" s="304">
        <f>J117/E117</f>
        <v/>
      </c>
      <c r="L117" s="304">
        <f>J117/F117</f>
        <v/>
      </c>
      <c r="M117" s="158" t="n"/>
    </row>
    <row r="118" ht="15" customHeight="1" s="272">
      <c r="A118" s="287" t="n"/>
      <c r="B118" s="298" t="n"/>
      <c r="C118" s="298" t="n"/>
      <c r="D118" s="208" t="inlineStr">
        <is>
          <t>8月</t>
        </is>
      </c>
      <c r="E118" s="299" t="n"/>
      <c r="F118" s="300" t="n"/>
      <c r="G118" s="301" t="n"/>
      <c r="H118" s="302" t="n"/>
      <c r="I118" s="303" t="n"/>
      <c r="J118" s="304">
        <f>G118+H118+I118</f>
        <v/>
      </c>
      <c r="K118" s="304">
        <f>J118/E118</f>
        <v/>
      </c>
      <c r="L118" s="304">
        <f>J118/F118</f>
        <v/>
      </c>
      <c r="M118" s="158" t="n"/>
    </row>
    <row r="119" ht="15" customHeight="1" s="272">
      <c r="A119" s="287" t="n"/>
      <c r="B119" s="298" t="n"/>
      <c r="C119" s="298" t="n"/>
      <c r="D119" s="208" t="inlineStr">
        <is>
          <t>9月</t>
        </is>
      </c>
      <c r="E119" s="299" t="n"/>
      <c r="F119" s="300" t="n"/>
      <c r="G119" s="301" t="n"/>
      <c r="H119" s="302" t="n"/>
      <c r="I119" s="303" t="n"/>
      <c r="J119" s="304">
        <f>G119+H119+I119</f>
        <v/>
      </c>
      <c r="K119" s="304">
        <f>J119/E119</f>
        <v/>
      </c>
      <c r="L119" s="304">
        <f>J119/F119</f>
        <v/>
      </c>
      <c r="M119" s="158" t="n"/>
    </row>
    <row r="120" ht="15" customHeight="1" s="272">
      <c r="A120" s="287" t="n"/>
      <c r="B120" s="298" t="n"/>
      <c r="C120" s="298" t="n"/>
      <c r="D120" s="208" t="inlineStr">
        <is>
          <t>10月</t>
        </is>
      </c>
      <c r="E120" s="299" t="n"/>
      <c r="F120" s="300" t="n"/>
      <c r="G120" s="301" t="n"/>
      <c r="H120" s="302" t="n"/>
      <c r="I120" s="303" t="n"/>
      <c r="J120" s="304">
        <f>G120+H120+I120</f>
        <v/>
      </c>
      <c r="K120" s="304">
        <f>J120/E120</f>
        <v/>
      </c>
      <c r="L120" s="304">
        <f>J120/F120</f>
        <v/>
      </c>
      <c r="M120" s="158" t="n"/>
    </row>
    <row r="121" ht="15" customHeight="1" s="272">
      <c r="A121" s="287" t="n"/>
      <c r="B121" s="298" t="n"/>
      <c r="C121" s="298" t="n"/>
      <c r="D121" s="208" t="inlineStr">
        <is>
          <t>11月</t>
        </is>
      </c>
      <c r="E121" s="299" t="n"/>
      <c r="F121" s="300" t="n"/>
      <c r="G121" s="301" t="n"/>
      <c r="H121" s="302" t="n"/>
      <c r="I121" s="303" t="n"/>
      <c r="J121" s="304">
        <f>G121+H121+I121</f>
        <v/>
      </c>
      <c r="K121" s="304">
        <f>J121/E121</f>
        <v/>
      </c>
      <c r="L121" s="304">
        <f>J121/F121</f>
        <v/>
      </c>
      <c r="M121" s="158" t="n"/>
    </row>
    <row r="122" ht="15" customHeight="1" s="272">
      <c r="A122" s="287" t="n"/>
      <c r="B122" s="298" t="n"/>
      <c r="C122" s="298" t="n"/>
      <c r="D122" s="208" t="inlineStr">
        <is>
          <t>12月</t>
        </is>
      </c>
      <c r="E122" s="299" t="n"/>
      <c r="F122" s="300" t="n"/>
      <c r="G122" s="301" t="n"/>
      <c r="H122" s="302" t="n"/>
      <c r="I122" s="303" t="n"/>
      <c r="J122" s="304">
        <f>G122+H122+I122</f>
        <v/>
      </c>
      <c r="K122" s="304">
        <f>J122/E122</f>
        <v/>
      </c>
      <c r="L122" s="304">
        <f>J122/F122</f>
        <v/>
      </c>
      <c r="M122" s="158" t="n"/>
    </row>
    <row r="123" ht="15" customHeight="1" s="272">
      <c r="A123" s="287" t="n"/>
      <c r="B123" s="298" t="n"/>
      <c r="C123" s="298" t="n"/>
      <c r="D123" s="208" t="inlineStr">
        <is>
          <t>1月</t>
        </is>
      </c>
      <c r="E123" s="299" t="n"/>
      <c r="F123" s="300" t="n"/>
      <c r="G123" s="301" t="n"/>
      <c r="H123" s="302" t="n"/>
      <c r="I123" s="303" t="n"/>
      <c r="J123" s="304">
        <f>G123+H123+I123</f>
        <v/>
      </c>
      <c r="K123" s="304">
        <f>J123/E123</f>
        <v/>
      </c>
      <c r="L123" s="304">
        <f>J123/F123</f>
        <v/>
      </c>
      <c r="M123" s="158" t="n"/>
    </row>
    <row r="124" ht="15" customHeight="1" s="272">
      <c r="A124" s="287" t="n"/>
      <c r="B124" s="298" t="n"/>
      <c r="C124" s="298" t="n"/>
      <c r="D124" s="208" t="inlineStr">
        <is>
          <t>2月</t>
        </is>
      </c>
      <c r="E124" s="299" t="n">
        <v>7</v>
      </c>
      <c r="F124" s="300" t="n">
        <v>21.55</v>
      </c>
      <c r="G124" s="301" t="n">
        <v>7350</v>
      </c>
      <c r="H124" s="302" t="n"/>
      <c r="I124" s="303" t="n"/>
      <c r="J124" s="304">
        <f>G124+H124+I124</f>
        <v/>
      </c>
      <c r="K124" s="304">
        <f>J124/E124</f>
        <v/>
      </c>
      <c r="L124" s="304">
        <f>J124/F124</f>
        <v/>
      </c>
      <c r="M124" s="158" t="n"/>
    </row>
    <row r="125" ht="15" customHeight="1" s="272">
      <c r="A125" s="290" t="n"/>
      <c r="B125" s="305" t="n"/>
      <c r="C125" s="305" t="n"/>
      <c r="D125" s="211" t="inlineStr">
        <is>
          <t>3月</t>
        </is>
      </c>
      <c r="E125" s="306" t="n">
        <v>5</v>
      </c>
      <c r="F125" s="307" t="n">
        <v>11.53</v>
      </c>
      <c r="G125" s="308" t="n">
        <v>4200</v>
      </c>
      <c r="H125" s="309" t="n"/>
      <c r="I125" s="310" t="n"/>
      <c r="J125" s="311">
        <f>G125+H125+I125</f>
        <v/>
      </c>
      <c r="K125" s="311">
        <f>J125/E125</f>
        <v/>
      </c>
      <c r="L125" s="311">
        <f>J125/F125</f>
        <v/>
      </c>
      <c r="M125" s="165" t="n"/>
    </row>
    <row r="126" ht="15" customHeight="1" s="272">
      <c r="A126" s="291" t="n">
        <v>11</v>
      </c>
      <c r="B126" s="168" t="inlineStr">
        <is>
          <t>栗林 明美</t>
        </is>
      </c>
      <c r="C126" s="168" t="inlineStr">
        <is>
          <t>精神</t>
        </is>
      </c>
      <c r="D126" s="205" t="inlineStr">
        <is>
          <t>4月</t>
        </is>
      </c>
      <c r="E126" s="292" t="n"/>
      <c r="F126" s="293" t="n"/>
      <c r="G126" s="294" t="n"/>
      <c r="H126" s="295" t="n"/>
      <c r="I126" s="296" t="n"/>
      <c r="J126" s="297">
        <f>G126+H126+I126</f>
        <v/>
      </c>
      <c r="K126" s="297">
        <f>J126/E126</f>
        <v/>
      </c>
      <c r="L126" s="297">
        <f>J126/F126</f>
        <v/>
      </c>
      <c r="M126" s="151" t="n"/>
    </row>
    <row r="127" ht="15" customHeight="1" s="272">
      <c r="A127" s="287" t="n"/>
      <c r="B127" s="298" t="n"/>
      <c r="C127" s="298" t="n"/>
      <c r="D127" s="208" t="inlineStr">
        <is>
          <t>5月</t>
        </is>
      </c>
      <c r="E127" s="299" t="n"/>
      <c r="F127" s="300" t="n"/>
      <c r="G127" s="301" t="n"/>
      <c r="H127" s="302" t="n"/>
      <c r="I127" s="303" t="n"/>
      <c r="J127" s="304">
        <f>G127+H127+I127</f>
        <v/>
      </c>
      <c r="K127" s="304">
        <f>J127/E127</f>
        <v/>
      </c>
      <c r="L127" s="304">
        <f>J127/F127</f>
        <v/>
      </c>
      <c r="M127" s="158" t="n"/>
    </row>
    <row r="128" ht="15" customHeight="1" s="272">
      <c r="A128" s="287" t="n"/>
      <c r="B128" s="298" t="n"/>
      <c r="C128" s="298" t="n"/>
      <c r="D128" s="208" t="inlineStr">
        <is>
          <t>6月</t>
        </is>
      </c>
      <c r="E128" s="299" t="n"/>
      <c r="F128" s="300" t="n"/>
      <c r="G128" s="301" t="n"/>
      <c r="H128" s="302" t="n"/>
      <c r="I128" s="303" t="n"/>
      <c r="J128" s="304">
        <f>G128+H128+I128</f>
        <v/>
      </c>
      <c r="K128" s="304">
        <f>J128/E128</f>
        <v/>
      </c>
      <c r="L128" s="304">
        <f>J128/F128</f>
        <v/>
      </c>
      <c r="M128" s="158" t="n"/>
    </row>
    <row r="129" ht="15" customHeight="1" s="272">
      <c r="A129" s="287" t="n"/>
      <c r="B129" s="298" t="n"/>
      <c r="C129" s="298" t="n"/>
      <c r="D129" s="208" t="inlineStr">
        <is>
          <t>7月</t>
        </is>
      </c>
      <c r="E129" s="299" t="n"/>
      <c r="F129" s="300" t="n"/>
      <c r="G129" s="301" t="n"/>
      <c r="H129" s="302" t="n"/>
      <c r="I129" s="303" t="n"/>
      <c r="J129" s="304">
        <f>G129+H129+I129</f>
        <v/>
      </c>
      <c r="K129" s="304">
        <f>J129/E129</f>
        <v/>
      </c>
      <c r="L129" s="304">
        <f>J129/F129</f>
        <v/>
      </c>
      <c r="M129" s="158" t="n"/>
    </row>
    <row r="130" ht="15" customHeight="1" s="272">
      <c r="A130" s="287" t="n"/>
      <c r="B130" s="298" t="n"/>
      <c r="C130" s="298" t="n"/>
      <c r="D130" s="208" t="inlineStr">
        <is>
          <t>8月</t>
        </is>
      </c>
      <c r="E130" s="299" t="n"/>
      <c r="F130" s="300" t="n"/>
      <c r="G130" s="301" t="n"/>
      <c r="H130" s="302" t="n"/>
      <c r="I130" s="303" t="n"/>
      <c r="J130" s="304">
        <f>G130+H130+I130</f>
        <v/>
      </c>
      <c r="K130" s="304">
        <f>J130/E130</f>
        <v/>
      </c>
      <c r="L130" s="304">
        <f>J130/F130</f>
        <v/>
      </c>
      <c r="M130" s="158" t="n"/>
    </row>
    <row r="131" ht="15" customHeight="1" s="272">
      <c r="A131" s="287" t="n"/>
      <c r="B131" s="298" t="n"/>
      <c r="C131" s="298" t="n"/>
      <c r="D131" s="208" t="inlineStr">
        <is>
          <t>9月</t>
        </is>
      </c>
      <c r="E131" s="299" t="n"/>
      <c r="F131" s="300" t="n"/>
      <c r="G131" s="301" t="n"/>
      <c r="H131" s="302" t="n"/>
      <c r="I131" s="303" t="n"/>
      <c r="J131" s="304">
        <f>G131+H131+I131</f>
        <v/>
      </c>
      <c r="K131" s="304">
        <f>J131/E131</f>
        <v/>
      </c>
      <c r="L131" s="304">
        <f>J131/F131</f>
        <v/>
      </c>
      <c r="M131" s="158" t="n"/>
    </row>
    <row r="132" ht="15" customHeight="1" s="272">
      <c r="A132" s="287" t="n"/>
      <c r="B132" s="298" t="n"/>
      <c r="C132" s="298" t="n"/>
      <c r="D132" s="208" t="inlineStr">
        <is>
          <t>10月</t>
        </is>
      </c>
      <c r="E132" s="299" t="n"/>
      <c r="F132" s="300" t="n"/>
      <c r="G132" s="301" t="n"/>
      <c r="H132" s="302" t="n"/>
      <c r="I132" s="303" t="n"/>
      <c r="J132" s="304">
        <f>G132+H132+I132</f>
        <v/>
      </c>
      <c r="K132" s="304">
        <f>J132/E132</f>
        <v/>
      </c>
      <c r="L132" s="304">
        <f>J132/F132</f>
        <v/>
      </c>
      <c r="M132" s="158" t="n"/>
    </row>
    <row r="133" ht="15" customHeight="1" s="272">
      <c r="A133" s="287" t="n"/>
      <c r="B133" s="298" t="n"/>
      <c r="C133" s="298" t="n"/>
      <c r="D133" s="208" t="inlineStr">
        <is>
          <t>11月</t>
        </is>
      </c>
      <c r="E133" s="299" t="n"/>
      <c r="F133" s="300" t="n"/>
      <c r="G133" s="301" t="n"/>
      <c r="H133" s="302" t="n"/>
      <c r="I133" s="303" t="n"/>
      <c r="J133" s="304">
        <f>G133+H133+I133</f>
        <v/>
      </c>
      <c r="K133" s="304">
        <f>J133/E133</f>
        <v/>
      </c>
      <c r="L133" s="304">
        <f>J133/F133</f>
        <v/>
      </c>
      <c r="M133" s="158" t="n"/>
    </row>
    <row r="134" ht="15" customHeight="1" s="272">
      <c r="A134" s="287" t="n"/>
      <c r="B134" s="298" t="n"/>
      <c r="C134" s="298" t="n"/>
      <c r="D134" s="208" t="inlineStr">
        <is>
          <t>12月</t>
        </is>
      </c>
      <c r="E134" s="299" t="n"/>
      <c r="F134" s="300" t="n"/>
      <c r="G134" s="301" t="n"/>
      <c r="H134" s="302" t="n"/>
      <c r="I134" s="303" t="n"/>
      <c r="J134" s="304">
        <f>G134+H134+I134</f>
        <v/>
      </c>
      <c r="K134" s="304">
        <f>J134/E134</f>
        <v/>
      </c>
      <c r="L134" s="304">
        <f>J134/F134</f>
        <v/>
      </c>
      <c r="M134" s="158" t="n"/>
    </row>
    <row r="135" ht="15" customHeight="1" s="272">
      <c r="A135" s="287" t="n"/>
      <c r="B135" s="298" t="n"/>
      <c r="C135" s="298" t="n"/>
      <c r="D135" s="208" t="inlineStr">
        <is>
          <t>1月</t>
        </is>
      </c>
      <c r="E135" s="299" t="n"/>
      <c r="F135" s="300" t="n"/>
      <c r="G135" s="301" t="n"/>
      <c r="H135" s="302" t="n"/>
      <c r="I135" s="303" t="n"/>
      <c r="J135" s="304">
        <f>G135+H135+I135</f>
        <v/>
      </c>
      <c r="K135" s="304">
        <f>J135/E135</f>
        <v/>
      </c>
      <c r="L135" s="304">
        <f>J135/F135</f>
        <v/>
      </c>
      <c r="M135" s="158" t="n"/>
    </row>
    <row r="136" ht="15" customHeight="1" s="272">
      <c r="A136" s="287" t="n"/>
      <c r="B136" s="298" t="n"/>
      <c r="C136" s="298" t="n"/>
      <c r="D136" s="208" t="inlineStr">
        <is>
          <t>2月</t>
        </is>
      </c>
      <c r="E136" s="299" t="n">
        <v>1</v>
      </c>
      <c r="F136" s="300" t="n">
        <v>3.92</v>
      </c>
      <c r="G136" s="301" t="n">
        <v>1400</v>
      </c>
      <c r="H136" s="302" t="n"/>
      <c r="I136" s="303" t="n"/>
      <c r="J136" s="304">
        <f>G136+H136+I136</f>
        <v/>
      </c>
      <c r="K136" s="304">
        <f>J136/E136</f>
        <v/>
      </c>
      <c r="L136" s="304">
        <f>J136/F136</f>
        <v/>
      </c>
      <c r="M136" s="158" t="n"/>
    </row>
    <row r="137" ht="15" customHeight="1" s="272">
      <c r="A137" s="290" t="n"/>
      <c r="B137" s="305" t="n"/>
      <c r="C137" s="305" t="n"/>
      <c r="D137" s="211" t="inlineStr">
        <is>
          <t>3月</t>
        </is>
      </c>
      <c r="E137" s="306" t="n">
        <v>1</v>
      </c>
      <c r="F137" s="307" t="n">
        <v>3.95</v>
      </c>
      <c r="G137" s="308" t="n">
        <v>1400</v>
      </c>
      <c r="H137" s="309" t="n"/>
      <c r="I137" s="310" t="n"/>
      <c r="J137" s="311">
        <f>G137+H137+I137</f>
        <v/>
      </c>
      <c r="K137" s="311">
        <f>J137/E137</f>
        <v/>
      </c>
      <c r="L137" s="311">
        <f>J137/F137</f>
        <v/>
      </c>
      <c r="M137" s="165" t="n"/>
    </row>
    <row r="138" ht="15" customHeight="1" s="272">
      <c r="A138" s="291" t="n">
        <v>12</v>
      </c>
      <c r="B138" s="168" t="inlineStr">
        <is>
          <t>高野 寛子</t>
        </is>
      </c>
      <c r="C138" s="168" t="inlineStr">
        <is>
          <t>精神</t>
        </is>
      </c>
      <c r="D138" s="205" t="inlineStr">
        <is>
          <t>4月</t>
        </is>
      </c>
      <c r="E138" s="292" t="n"/>
      <c r="F138" s="293" t="n"/>
      <c r="G138" s="294" t="n"/>
      <c r="H138" s="295" t="n"/>
      <c r="I138" s="296" t="n"/>
      <c r="J138" s="297">
        <f>G138+H138+I138</f>
        <v/>
      </c>
      <c r="K138" s="297">
        <f>J138/E138</f>
        <v/>
      </c>
      <c r="L138" s="297">
        <f>J138/F138</f>
        <v/>
      </c>
      <c r="M138" s="151" t="n"/>
    </row>
    <row r="139" ht="15" customHeight="1" s="272">
      <c r="A139" s="287" t="n"/>
      <c r="B139" s="298" t="n"/>
      <c r="C139" s="298" t="n"/>
      <c r="D139" s="208" t="inlineStr">
        <is>
          <t>5月</t>
        </is>
      </c>
      <c r="E139" s="299" t="n"/>
      <c r="F139" s="300" t="n"/>
      <c r="G139" s="301" t="n"/>
      <c r="H139" s="302" t="n"/>
      <c r="I139" s="303" t="n"/>
      <c r="J139" s="304">
        <f>G139+H139+I139</f>
        <v/>
      </c>
      <c r="K139" s="304">
        <f>J139/E139</f>
        <v/>
      </c>
      <c r="L139" s="304">
        <f>J139/F139</f>
        <v/>
      </c>
      <c r="M139" s="158" t="n"/>
    </row>
    <row r="140" ht="15" customHeight="1" s="272">
      <c r="A140" s="287" t="n"/>
      <c r="B140" s="298" t="n"/>
      <c r="C140" s="298" t="n"/>
      <c r="D140" s="208" t="inlineStr">
        <is>
          <t>6月</t>
        </is>
      </c>
      <c r="E140" s="299" t="n"/>
      <c r="F140" s="300" t="n"/>
      <c r="G140" s="301" t="n"/>
      <c r="H140" s="302" t="n"/>
      <c r="I140" s="303" t="n"/>
      <c r="J140" s="304">
        <f>G140+H140+I140</f>
        <v/>
      </c>
      <c r="K140" s="304">
        <f>J140/E140</f>
        <v/>
      </c>
      <c r="L140" s="304">
        <f>J140/F140</f>
        <v/>
      </c>
      <c r="M140" s="158" t="n"/>
    </row>
    <row r="141" ht="15" customHeight="1" s="272">
      <c r="A141" s="287" t="n"/>
      <c r="B141" s="298" t="n"/>
      <c r="C141" s="298" t="n"/>
      <c r="D141" s="208" t="inlineStr">
        <is>
          <t>7月</t>
        </is>
      </c>
      <c r="E141" s="299" t="n"/>
      <c r="F141" s="300" t="n"/>
      <c r="G141" s="301" t="n"/>
      <c r="H141" s="302" t="n"/>
      <c r="I141" s="303" t="n"/>
      <c r="J141" s="304">
        <f>G141+H141+I141</f>
        <v/>
      </c>
      <c r="K141" s="304">
        <f>J141/E141</f>
        <v/>
      </c>
      <c r="L141" s="304">
        <f>J141/F141</f>
        <v/>
      </c>
      <c r="M141" s="158" t="n"/>
    </row>
    <row r="142" ht="15" customHeight="1" s="272">
      <c r="A142" s="287" t="n"/>
      <c r="B142" s="298" t="n"/>
      <c r="C142" s="298" t="n"/>
      <c r="D142" s="208" t="inlineStr">
        <is>
          <t>8月</t>
        </is>
      </c>
      <c r="E142" s="299" t="n"/>
      <c r="F142" s="300" t="n"/>
      <c r="G142" s="301" t="n"/>
      <c r="H142" s="302" t="n"/>
      <c r="I142" s="303" t="n"/>
      <c r="J142" s="304">
        <f>G142+H142+I142</f>
        <v/>
      </c>
      <c r="K142" s="304">
        <f>J142/E142</f>
        <v/>
      </c>
      <c r="L142" s="304">
        <f>J142/F142</f>
        <v/>
      </c>
      <c r="M142" s="158" t="n"/>
    </row>
    <row r="143" ht="15" customHeight="1" s="272">
      <c r="A143" s="287" t="n"/>
      <c r="B143" s="298" t="n"/>
      <c r="C143" s="298" t="n"/>
      <c r="D143" s="208" t="inlineStr">
        <is>
          <t>9月</t>
        </is>
      </c>
      <c r="E143" s="299" t="n"/>
      <c r="F143" s="300" t="n"/>
      <c r="G143" s="301" t="n"/>
      <c r="H143" s="302" t="n"/>
      <c r="I143" s="303" t="n"/>
      <c r="J143" s="304">
        <f>G143+H143+I143</f>
        <v/>
      </c>
      <c r="K143" s="304">
        <f>J143/E143</f>
        <v/>
      </c>
      <c r="L143" s="304">
        <f>J143/F143</f>
        <v/>
      </c>
      <c r="M143" s="158" t="n"/>
    </row>
    <row r="144" ht="15" customHeight="1" s="272">
      <c r="A144" s="287" t="n"/>
      <c r="B144" s="298" t="n"/>
      <c r="C144" s="298" t="n"/>
      <c r="D144" s="208" t="inlineStr">
        <is>
          <t>10月</t>
        </is>
      </c>
      <c r="E144" s="299" t="n"/>
      <c r="F144" s="300" t="n"/>
      <c r="G144" s="301" t="n"/>
      <c r="H144" s="302" t="n"/>
      <c r="I144" s="303" t="n"/>
      <c r="J144" s="304">
        <f>G144+H144+I144</f>
        <v/>
      </c>
      <c r="K144" s="304">
        <f>J144/E144</f>
        <v/>
      </c>
      <c r="L144" s="304">
        <f>J144/F144</f>
        <v/>
      </c>
      <c r="M144" s="158" t="n"/>
    </row>
    <row r="145" ht="15" customHeight="1" s="272">
      <c r="A145" s="287" t="n"/>
      <c r="B145" s="298" t="n"/>
      <c r="C145" s="298" t="n"/>
      <c r="D145" s="208" t="inlineStr">
        <is>
          <t>11月</t>
        </is>
      </c>
      <c r="E145" s="299" t="n"/>
      <c r="F145" s="300" t="n"/>
      <c r="G145" s="301" t="n"/>
      <c r="H145" s="302" t="n"/>
      <c r="I145" s="303" t="n"/>
      <c r="J145" s="304">
        <f>G145+H145+I145</f>
        <v/>
      </c>
      <c r="K145" s="304">
        <f>J145/E145</f>
        <v/>
      </c>
      <c r="L145" s="304">
        <f>J145/F145</f>
        <v/>
      </c>
      <c r="M145" s="158" t="n"/>
    </row>
    <row r="146" ht="15" customHeight="1" s="272">
      <c r="A146" s="287" t="n"/>
      <c r="B146" s="298" t="n"/>
      <c r="C146" s="298" t="n"/>
      <c r="D146" s="208" t="inlineStr">
        <is>
          <t>12月</t>
        </is>
      </c>
      <c r="E146" s="299" t="n"/>
      <c r="F146" s="300" t="n"/>
      <c r="G146" s="301" t="n"/>
      <c r="H146" s="302" t="n"/>
      <c r="I146" s="303" t="n"/>
      <c r="J146" s="304">
        <f>G146+H146+I146</f>
        <v/>
      </c>
      <c r="K146" s="304">
        <f>J146/E146</f>
        <v/>
      </c>
      <c r="L146" s="304">
        <f>J146/F146</f>
        <v/>
      </c>
      <c r="M146" s="158" t="n"/>
    </row>
    <row r="147" ht="15" customHeight="1" s="272">
      <c r="A147" s="287" t="n"/>
      <c r="B147" s="298" t="n"/>
      <c r="C147" s="298" t="n"/>
      <c r="D147" s="208" t="inlineStr">
        <is>
          <t>1月</t>
        </is>
      </c>
      <c r="E147" s="299" t="n"/>
      <c r="F147" s="300" t="n"/>
      <c r="G147" s="301" t="n"/>
      <c r="H147" s="302" t="n"/>
      <c r="I147" s="303" t="n"/>
      <c r="J147" s="304">
        <f>G147+H147+I147</f>
        <v/>
      </c>
      <c r="K147" s="304">
        <f>J147/E147</f>
        <v/>
      </c>
      <c r="L147" s="304">
        <f>J147/F147</f>
        <v/>
      </c>
      <c r="M147" s="158" t="n"/>
    </row>
    <row r="148" ht="15" customHeight="1" s="272">
      <c r="A148" s="287" t="n"/>
      <c r="B148" s="298" t="n"/>
      <c r="C148" s="298" t="n"/>
      <c r="D148" s="208" t="inlineStr">
        <is>
          <t>2月</t>
        </is>
      </c>
      <c r="E148" s="299" t="n">
        <v>5</v>
      </c>
      <c r="F148" s="300" t="n">
        <v>9.130000000000001</v>
      </c>
      <c r="G148" s="301" t="n">
        <v>6650</v>
      </c>
      <c r="H148" s="302" t="n"/>
      <c r="I148" s="303" t="n"/>
      <c r="J148" s="304">
        <f>G148+H148+I148</f>
        <v/>
      </c>
      <c r="K148" s="304">
        <f>J148/E148</f>
        <v/>
      </c>
      <c r="L148" s="304">
        <f>J148/F148</f>
        <v/>
      </c>
      <c r="M148" s="158" t="n"/>
    </row>
    <row r="149" ht="15" customHeight="1" s="272">
      <c r="A149" s="290" t="n"/>
      <c r="B149" s="305" t="n"/>
      <c r="C149" s="305" t="n"/>
      <c r="D149" s="211" t="inlineStr">
        <is>
          <t>3月</t>
        </is>
      </c>
      <c r="E149" s="306" t="n"/>
      <c r="F149" s="307" t="n"/>
      <c r="G149" s="308" t="n">
        <v>6650</v>
      </c>
      <c r="H149" s="309" t="n"/>
      <c r="I149" s="310" t="n"/>
      <c r="J149" s="312">
        <f>G149+H149+I149</f>
        <v/>
      </c>
      <c r="K149" s="312">
        <f>J149/E149</f>
        <v/>
      </c>
      <c r="L149" s="312">
        <f>J149/F149</f>
        <v/>
      </c>
      <c r="M149" s="165" t="n"/>
    </row>
    <row r="150" ht="15" customHeight="1" s="272">
      <c r="A150" s="291" t="n">
        <v>13</v>
      </c>
      <c r="B150" s="168" t="inlineStr">
        <is>
          <t>高橋 希美</t>
        </is>
      </c>
      <c r="C150" s="168" t="inlineStr">
        <is>
          <t>精神</t>
        </is>
      </c>
      <c r="D150" s="205" t="inlineStr">
        <is>
          <t>4月</t>
        </is>
      </c>
      <c r="E150" s="292" t="n"/>
      <c r="F150" s="293" t="n"/>
      <c r="G150" s="294" t="n"/>
      <c r="H150" s="295" t="n"/>
      <c r="I150" s="296" t="n"/>
      <c r="J150" s="297">
        <f>G150+H150+I150</f>
        <v/>
      </c>
      <c r="K150" s="297">
        <f>J150/E150</f>
        <v/>
      </c>
      <c r="L150" s="297">
        <f>J150/F150</f>
        <v/>
      </c>
      <c r="M150" s="151" t="n"/>
    </row>
    <row r="151" ht="15" customHeight="1" s="272">
      <c r="A151" s="287" t="n"/>
      <c r="B151" s="298" t="n"/>
      <c r="C151" s="298" t="n"/>
      <c r="D151" s="208" t="inlineStr">
        <is>
          <t>5月</t>
        </is>
      </c>
      <c r="E151" s="299" t="n"/>
      <c r="F151" s="300" t="n"/>
      <c r="G151" s="301" t="n"/>
      <c r="H151" s="302" t="n"/>
      <c r="I151" s="303" t="n"/>
      <c r="J151" s="304">
        <f>G151+H151+I151</f>
        <v/>
      </c>
      <c r="K151" s="304">
        <f>J151/E151</f>
        <v/>
      </c>
      <c r="L151" s="304">
        <f>J151/F151</f>
        <v/>
      </c>
      <c r="M151" s="158" t="n"/>
    </row>
    <row r="152" ht="15" customHeight="1" s="272">
      <c r="A152" s="287" t="n"/>
      <c r="B152" s="298" t="n"/>
      <c r="C152" s="298" t="n"/>
      <c r="D152" s="208" t="inlineStr">
        <is>
          <t>6月</t>
        </is>
      </c>
      <c r="E152" s="299" t="n"/>
      <c r="F152" s="300" t="n"/>
      <c r="G152" s="301" t="n"/>
      <c r="H152" s="302" t="n"/>
      <c r="I152" s="303" t="n"/>
      <c r="J152" s="304">
        <f>G152+H152+I152</f>
        <v/>
      </c>
      <c r="K152" s="304">
        <f>J152/E152</f>
        <v/>
      </c>
      <c r="L152" s="304">
        <f>J152/F152</f>
        <v/>
      </c>
      <c r="M152" s="158" t="n"/>
    </row>
    <row r="153" ht="15" customHeight="1" s="272">
      <c r="A153" s="287" t="n"/>
      <c r="B153" s="298" t="n"/>
      <c r="C153" s="298" t="n"/>
      <c r="D153" s="208" t="inlineStr">
        <is>
          <t>7月</t>
        </is>
      </c>
      <c r="E153" s="299" t="n"/>
      <c r="F153" s="300" t="n"/>
      <c r="G153" s="301" t="n"/>
      <c r="H153" s="302" t="n"/>
      <c r="I153" s="303" t="n"/>
      <c r="J153" s="304">
        <f>G153+H153+I153</f>
        <v/>
      </c>
      <c r="K153" s="304">
        <f>J153/E153</f>
        <v/>
      </c>
      <c r="L153" s="304">
        <f>J153/F153</f>
        <v/>
      </c>
      <c r="M153" s="158" t="n"/>
    </row>
    <row r="154" ht="15" customHeight="1" s="272">
      <c r="A154" s="287" t="n"/>
      <c r="B154" s="298" t="n"/>
      <c r="C154" s="298" t="n"/>
      <c r="D154" s="208" t="inlineStr">
        <is>
          <t>8月</t>
        </is>
      </c>
      <c r="E154" s="299" t="n"/>
      <c r="F154" s="300" t="n"/>
      <c r="G154" s="301" t="n"/>
      <c r="H154" s="302" t="n"/>
      <c r="I154" s="303" t="n"/>
      <c r="J154" s="304">
        <f>G154+H154+I154</f>
        <v/>
      </c>
      <c r="K154" s="304">
        <f>J154/E154</f>
        <v/>
      </c>
      <c r="L154" s="304">
        <f>J154/F154</f>
        <v/>
      </c>
      <c r="M154" s="158" t="n"/>
    </row>
    <row r="155" ht="15" customHeight="1" s="272">
      <c r="A155" s="287" t="n"/>
      <c r="B155" s="298" t="n"/>
      <c r="C155" s="298" t="n"/>
      <c r="D155" s="208" t="inlineStr">
        <is>
          <t>9月</t>
        </is>
      </c>
      <c r="E155" s="299" t="n"/>
      <c r="F155" s="300" t="n"/>
      <c r="G155" s="301" t="n"/>
      <c r="H155" s="302" t="n"/>
      <c r="I155" s="303" t="n"/>
      <c r="J155" s="304">
        <f>G155+H155+I155</f>
        <v/>
      </c>
      <c r="K155" s="304">
        <f>J155/E155</f>
        <v/>
      </c>
      <c r="L155" s="304">
        <f>J155/F155</f>
        <v/>
      </c>
      <c r="M155" s="158" t="n"/>
    </row>
    <row r="156" ht="15" customHeight="1" s="272">
      <c r="A156" s="287" t="n"/>
      <c r="B156" s="298" t="n"/>
      <c r="C156" s="298" t="n"/>
      <c r="D156" s="208" t="inlineStr">
        <is>
          <t>10月</t>
        </is>
      </c>
      <c r="E156" s="299" t="n"/>
      <c r="F156" s="300" t="n"/>
      <c r="G156" s="301" t="n"/>
      <c r="H156" s="302" t="n"/>
      <c r="I156" s="303" t="n"/>
      <c r="J156" s="304">
        <f>G156+H156+I156</f>
        <v/>
      </c>
      <c r="K156" s="304">
        <f>J156/E156</f>
        <v/>
      </c>
      <c r="L156" s="304">
        <f>J156/F156</f>
        <v/>
      </c>
      <c r="M156" s="158" t="n"/>
    </row>
    <row r="157" ht="15" customHeight="1" s="272">
      <c r="A157" s="287" t="n"/>
      <c r="B157" s="298" t="n"/>
      <c r="C157" s="298" t="n"/>
      <c r="D157" s="208" t="inlineStr">
        <is>
          <t>11月</t>
        </is>
      </c>
      <c r="E157" s="299" t="n"/>
      <c r="F157" s="300" t="n"/>
      <c r="G157" s="301" t="n"/>
      <c r="H157" s="302" t="n"/>
      <c r="I157" s="303" t="n"/>
      <c r="J157" s="304">
        <f>G157+H157+I157</f>
        <v/>
      </c>
      <c r="K157" s="304">
        <f>J157/E157</f>
        <v/>
      </c>
      <c r="L157" s="304">
        <f>J157/F157</f>
        <v/>
      </c>
      <c r="M157" s="158" t="n"/>
    </row>
    <row r="158" ht="15" customHeight="1" s="272">
      <c r="A158" s="287" t="n"/>
      <c r="B158" s="298" t="n"/>
      <c r="C158" s="298" t="n"/>
      <c r="D158" s="208" t="inlineStr">
        <is>
          <t>12月</t>
        </is>
      </c>
      <c r="E158" s="299" t="n"/>
      <c r="F158" s="300" t="n"/>
      <c r="G158" s="301" t="n"/>
      <c r="H158" s="302" t="n"/>
      <c r="I158" s="303" t="n"/>
      <c r="J158" s="304">
        <f>G158+H158+I158</f>
        <v/>
      </c>
      <c r="K158" s="304">
        <f>J158/E158</f>
        <v/>
      </c>
      <c r="L158" s="304">
        <f>J158/F158</f>
        <v/>
      </c>
      <c r="M158" s="158" t="n"/>
    </row>
    <row r="159" ht="15" customHeight="1" s="272">
      <c r="A159" s="287" t="n"/>
      <c r="B159" s="298" t="n"/>
      <c r="C159" s="298" t="n"/>
      <c r="D159" s="208" t="inlineStr">
        <is>
          <t>1月</t>
        </is>
      </c>
      <c r="E159" s="299" t="n"/>
      <c r="F159" s="300" t="n"/>
      <c r="G159" s="301" t="n"/>
      <c r="H159" s="302" t="n"/>
      <c r="I159" s="303" t="n"/>
      <c r="J159" s="304">
        <f>G159+H159+I159</f>
        <v/>
      </c>
      <c r="K159" s="304">
        <f>J159/E159</f>
        <v/>
      </c>
      <c r="L159" s="304">
        <f>J159/F159</f>
        <v/>
      </c>
      <c r="M159" s="158" t="n"/>
    </row>
    <row r="160" ht="15" customHeight="1" s="272">
      <c r="A160" s="287" t="n"/>
      <c r="B160" s="298" t="n"/>
      <c r="C160" s="298" t="n"/>
      <c r="D160" s="208" t="inlineStr">
        <is>
          <t>2月</t>
        </is>
      </c>
      <c r="E160" s="299" t="n">
        <v>4</v>
      </c>
      <c r="F160" s="300" t="n">
        <v>15.72</v>
      </c>
      <c r="G160" s="301" t="n">
        <v>6242</v>
      </c>
      <c r="H160" s="302" t="n"/>
      <c r="I160" s="303" t="n"/>
      <c r="J160" s="304">
        <f>G160+H160+I160</f>
        <v/>
      </c>
      <c r="K160" s="304">
        <f>J160/E160</f>
        <v/>
      </c>
      <c r="L160" s="304">
        <f>J160/F160</f>
        <v/>
      </c>
      <c r="M160" s="158" t="n"/>
    </row>
    <row r="161" ht="15" customHeight="1" s="272">
      <c r="A161" s="290" t="n"/>
      <c r="B161" s="305" t="n"/>
      <c r="C161" s="305" t="n"/>
      <c r="D161" s="211" t="inlineStr">
        <is>
          <t>3月</t>
        </is>
      </c>
      <c r="E161" s="306" t="n">
        <v>13</v>
      </c>
      <c r="F161" s="307" t="n">
        <v>50.93</v>
      </c>
      <c r="G161" s="308" t="n">
        <v>19950</v>
      </c>
      <c r="H161" s="309" t="n"/>
      <c r="I161" s="310" t="n"/>
      <c r="J161" s="311">
        <f>G161+H161+I161</f>
        <v/>
      </c>
      <c r="K161" s="311">
        <f>J161/E161</f>
        <v/>
      </c>
      <c r="L161" s="311">
        <f>J161/F161</f>
        <v/>
      </c>
      <c r="M161" s="165" t="n"/>
    </row>
    <row r="162" ht="15" customHeight="1" s="272">
      <c r="A162" s="291" t="n">
        <v>14</v>
      </c>
      <c r="B162" s="168" t="inlineStr">
        <is>
          <t>中井 涼香</t>
        </is>
      </c>
      <c r="C162" s="168" t="inlineStr">
        <is>
          <t>精神</t>
        </is>
      </c>
      <c r="D162" s="205" t="inlineStr">
        <is>
          <t>4月</t>
        </is>
      </c>
      <c r="E162" s="292" t="n"/>
      <c r="F162" s="293" t="n"/>
      <c r="G162" s="294" t="n"/>
      <c r="H162" s="295" t="n"/>
      <c r="I162" s="296" t="n"/>
      <c r="J162" s="297">
        <f>G162+H162+I162</f>
        <v/>
      </c>
      <c r="K162" s="297">
        <f>J162/E162</f>
        <v/>
      </c>
      <c r="L162" s="297">
        <f>J162/F162</f>
        <v/>
      </c>
      <c r="M162" s="151" t="n"/>
    </row>
    <row r="163" ht="15" customHeight="1" s="272">
      <c r="A163" s="287" t="n"/>
      <c r="B163" s="298" t="n"/>
      <c r="C163" s="298" t="n"/>
      <c r="D163" s="208" t="inlineStr">
        <is>
          <t>5月</t>
        </is>
      </c>
      <c r="E163" s="299" t="n"/>
      <c r="F163" s="300" t="n"/>
      <c r="G163" s="301" t="n"/>
      <c r="H163" s="302" t="n"/>
      <c r="I163" s="303" t="n"/>
      <c r="J163" s="304">
        <f>G163+H163+I163</f>
        <v/>
      </c>
      <c r="K163" s="304">
        <f>J163/E163</f>
        <v/>
      </c>
      <c r="L163" s="304">
        <f>J163/F163</f>
        <v/>
      </c>
      <c r="M163" s="158" t="n"/>
    </row>
    <row r="164" ht="15" customHeight="1" s="272">
      <c r="A164" s="287" t="n"/>
      <c r="B164" s="298" t="n"/>
      <c r="C164" s="298" t="n"/>
      <c r="D164" s="208" t="inlineStr">
        <is>
          <t>6月</t>
        </is>
      </c>
      <c r="E164" s="299" t="n"/>
      <c r="F164" s="300" t="n"/>
      <c r="G164" s="301" t="n"/>
      <c r="H164" s="302" t="n"/>
      <c r="I164" s="303" t="n"/>
      <c r="J164" s="304">
        <f>G164+H164+I164</f>
        <v/>
      </c>
      <c r="K164" s="304">
        <f>J164/E164</f>
        <v/>
      </c>
      <c r="L164" s="304">
        <f>J164/F164</f>
        <v/>
      </c>
      <c r="M164" s="158" t="n"/>
    </row>
    <row r="165" ht="15" customHeight="1" s="272">
      <c r="A165" s="287" t="n"/>
      <c r="B165" s="298" t="n"/>
      <c r="C165" s="298" t="n"/>
      <c r="D165" s="208" t="inlineStr">
        <is>
          <t>7月</t>
        </is>
      </c>
      <c r="E165" s="299" t="n"/>
      <c r="F165" s="300" t="n"/>
      <c r="G165" s="301" t="n"/>
      <c r="H165" s="302" t="n"/>
      <c r="I165" s="303" t="n"/>
      <c r="J165" s="304">
        <f>G165+H165+I165</f>
        <v/>
      </c>
      <c r="K165" s="304">
        <f>J165/E165</f>
        <v/>
      </c>
      <c r="L165" s="304">
        <f>J165/F165</f>
        <v/>
      </c>
      <c r="M165" s="158" t="n"/>
    </row>
    <row r="166" ht="15" customHeight="1" s="272">
      <c r="A166" s="287" t="n"/>
      <c r="B166" s="298" t="n"/>
      <c r="C166" s="298" t="n"/>
      <c r="D166" s="208" t="inlineStr">
        <is>
          <t>8月</t>
        </is>
      </c>
      <c r="E166" s="299" t="n"/>
      <c r="F166" s="300" t="n"/>
      <c r="G166" s="301" t="n"/>
      <c r="H166" s="302" t="n"/>
      <c r="I166" s="303" t="n"/>
      <c r="J166" s="304">
        <f>G166+H166+I166</f>
        <v/>
      </c>
      <c r="K166" s="304">
        <f>J166/E166</f>
        <v/>
      </c>
      <c r="L166" s="304">
        <f>J166/F166</f>
        <v/>
      </c>
      <c r="M166" s="158" t="n"/>
    </row>
    <row r="167" ht="15" customHeight="1" s="272">
      <c r="A167" s="287" t="n"/>
      <c r="B167" s="298" t="n"/>
      <c r="C167" s="298" t="n"/>
      <c r="D167" s="208" t="inlineStr">
        <is>
          <t>9月</t>
        </is>
      </c>
      <c r="E167" s="299" t="n"/>
      <c r="F167" s="300" t="n"/>
      <c r="G167" s="301" t="n"/>
      <c r="H167" s="302" t="n"/>
      <c r="I167" s="303" t="n"/>
      <c r="J167" s="304">
        <f>G167+H167+I167</f>
        <v/>
      </c>
      <c r="K167" s="304">
        <f>J167/E167</f>
        <v/>
      </c>
      <c r="L167" s="304">
        <f>J167/F167</f>
        <v/>
      </c>
      <c r="M167" s="158" t="n"/>
    </row>
    <row r="168" ht="15" customHeight="1" s="272">
      <c r="A168" s="287" t="n"/>
      <c r="B168" s="298" t="n"/>
      <c r="C168" s="298" t="n"/>
      <c r="D168" s="208" t="inlineStr">
        <is>
          <t>10月</t>
        </is>
      </c>
      <c r="E168" s="299" t="n"/>
      <c r="F168" s="300" t="n"/>
      <c r="G168" s="301" t="n"/>
      <c r="H168" s="302" t="n"/>
      <c r="I168" s="303" t="n"/>
      <c r="J168" s="304">
        <f>G168+H168+I168</f>
        <v/>
      </c>
      <c r="K168" s="304">
        <f>J168/E168</f>
        <v/>
      </c>
      <c r="L168" s="304">
        <f>J168/F168</f>
        <v/>
      </c>
      <c r="M168" s="158" t="n"/>
    </row>
    <row r="169" ht="15" customHeight="1" s="272">
      <c r="A169" s="287" t="n"/>
      <c r="B169" s="298" t="n"/>
      <c r="C169" s="298" t="n"/>
      <c r="D169" s="208" t="inlineStr">
        <is>
          <t>11月</t>
        </is>
      </c>
      <c r="E169" s="299" t="n"/>
      <c r="F169" s="300" t="n"/>
      <c r="G169" s="301" t="n"/>
      <c r="H169" s="302" t="n"/>
      <c r="I169" s="303" t="n"/>
      <c r="J169" s="304">
        <f>G169+H169+I169</f>
        <v/>
      </c>
      <c r="K169" s="304">
        <f>J169/E169</f>
        <v/>
      </c>
      <c r="L169" s="304">
        <f>J169/F169</f>
        <v/>
      </c>
      <c r="M169" s="158" t="n"/>
    </row>
    <row r="170" ht="15" customHeight="1" s="272">
      <c r="A170" s="287" t="n"/>
      <c r="B170" s="298" t="n"/>
      <c r="C170" s="298" t="n"/>
      <c r="D170" s="208" t="inlineStr">
        <is>
          <t>12月</t>
        </is>
      </c>
      <c r="E170" s="299" t="n"/>
      <c r="F170" s="300" t="n"/>
      <c r="G170" s="301" t="n"/>
      <c r="H170" s="302" t="n"/>
      <c r="I170" s="303" t="n"/>
      <c r="J170" s="304">
        <f>G170+H170+I170</f>
        <v/>
      </c>
      <c r="K170" s="304">
        <f>J170/E170</f>
        <v/>
      </c>
      <c r="L170" s="304">
        <f>J170/F170</f>
        <v/>
      </c>
      <c r="M170" s="158" t="n"/>
    </row>
    <row r="171" ht="15" customHeight="1" s="272">
      <c r="A171" s="287" t="n"/>
      <c r="B171" s="298" t="n"/>
      <c r="C171" s="298" t="n"/>
      <c r="D171" s="208" t="inlineStr">
        <is>
          <t>1月</t>
        </is>
      </c>
      <c r="E171" s="299" t="n"/>
      <c r="F171" s="300" t="n"/>
      <c r="G171" s="301" t="n"/>
      <c r="H171" s="302" t="n"/>
      <c r="I171" s="303" t="n"/>
      <c r="J171" s="304">
        <f>G171+H171+I171</f>
        <v/>
      </c>
      <c r="K171" s="304">
        <f>J171/E171</f>
        <v/>
      </c>
      <c r="L171" s="304">
        <f>J171/F171</f>
        <v/>
      </c>
      <c r="M171" s="158" t="n"/>
    </row>
    <row r="172" ht="15" customHeight="1" s="272">
      <c r="A172" s="287" t="n"/>
      <c r="B172" s="298" t="n"/>
      <c r="C172" s="298" t="n"/>
      <c r="D172" s="208" t="inlineStr">
        <is>
          <t>2月</t>
        </is>
      </c>
      <c r="E172" s="299" t="n">
        <v>3</v>
      </c>
      <c r="F172" s="300" t="n">
        <v>4.53</v>
      </c>
      <c r="G172" s="301" t="n">
        <v>3500</v>
      </c>
      <c r="H172" s="302" t="n"/>
      <c r="I172" s="303" t="n"/>
      <c r="J172" s="304">
        <f>G172+H172+I172</f>
        <v/>
      </c>
      <c r="K172" s="304">
        <f>J172/E172</f>
        <v/>
      </c>
      <c r="L172" s="304">
        <f>J172/F172</f>
        <v/>
      </c>
      <c r="M172" s="158" t="n"/>
    </row>
    <row r="173" ht="15" customHeight="1" s="272">
      <c r="A173" s="290" t="n"/>
      <c r="B173" s="305" t="n"/>
      <c r="C173" s="305" t="n"/>
      <c r="D173" s="211" t="inlineStr">
        <is>
          <t>3月</t>
        </is>
      </c>
      <c r="E173" s="306" t="n">
        <v>1</v>
      </c>
      <c r="F173" s="307" t="n">
        <v>1.98</v>
      </c>
      <c r="G173" s="308" t="n">
        <v>1050</v>
      </c>
      <c r="H173" s="309" t="n"/>
      <c r="I173" s="310" t="n"/>
      <c r="J173" s="311">
        <f>G173+H173+I173</f>
        <v/>
      </c>
      <c r="K173" s="311">
        <f>J173/E173</f>
        <v/>
      </c>
      <c r="L173" s="311">
        <f>J173/F173</f>
        <v/>
      </c>
      <c r="M173" s="165" t="n"/>
    </row>
    <row r="174" ht="15" customHeight="1" s="272">
      <c r="A174" s="291" t="n">
        <v>15</v>
      </c>
      <c r="B174" s="168" t="inlineStr">
        <is>
          <t>右田 はな子</t>
        </is>
      </c>
      <c r="C174" s="168" t="inlineStr">
        <is>
          <t>知的</t>
        </is>
      </c>
      <c r="D174" s="205" t="inlineStr">
        <is>
          <t>4月</t>
        </is>
      </c>
      <c r="E174" s="292" t="n"/>
      <c r="F174" s="293" t="n"/>
      <c r="G174" s="294" t="n"/>
      <c r="H174" s="295" t="n"/>
      <c r="I174" s="296" t="n"/>
      <c r="J174" s="297">
        <f>G174+H174+I174</f>
        <v/>
      </c>
      <c r="K174" s="297">
        <f>J174/E174</f>
        <v/>
      </c>
      <c r="L174" s="297">
        <f>J174/F174</f>
        <v/>
      </c>
      <c r="M174" s="151" t="n"/>
    </row>
    <row r="175" ht="15" customHeight="1" s="272">
      <c r="A175" s="287" t="n"/>
      <c r="B175" s="298" t="n"/>
      <c r="C175" s="298" t="n"/>
      <c r="D175" s="208" t="inlineStr">
        <is>
          <t>5月</t>
        </is>
      </c>
      <c r="E175" s="299" t="n"/>
      <c r="F175" s="300" t="n"/>
      <c r="G175" s="301" t="n"/>
      <c r="H175" s="302" t="n"/>
      <c r="I175" s="303" t="n"/>
      <c r="J175" s="304">
        <f>G175+H175+I175</f>
        <v/>
      </c>
      <c r="K175" s="304">
        <f>J175/E175</f>
        <v/>
      </c>
      <c r="L175" s="304">
        <f>J175/F175</f>
        <v/>
      </c>
      <c r="M175" s="158" t="n"/>
    </row>
    <row r="176" ht="15" customHeight="1" s="272">
      <c r="A176" s="287" t="n"/>
      <c r="B176" s="298" t="n"/>
      <c r="C176" s="298" t="n"/>
      <c r="D176" s="208" t="inlineStr">
        <is>
          <t>6月</t>
        </is>
      </c>
      <c r="E176" s="299" t="n"/>
      <c r="F176" s="300" t="n"/>
      <c r="G176" s="301" t="n"/>
      <c r="H176" s="302" t="n"/>
      <c r="I176" s="303" t="n"/>
      <c r="J176" s="304">
        <f>G176+H176+I176</f>
        <v/>
      </c>
      <c r="K176" s="304">
        <f>J176/E176</f>
        <v/>
      </c>
      <c r="L176" s="304">
        <f>J176/F176</f>
        <v/>
      </c>
      <c r="M176" s="158" t="n"/>
    </row>
    <row r="177" ht="15" customHeight="1" s="272">
      <c r="A177" s="287" t="n"/>
      <c r="B177" s="298" t="n"/>
      <c r="C177" s="298" t="n"/>
      <c r="D177" s="208" t="inlineStr">
        <is>
          <t>7月</t>
        </is>
      </c>
      <c r="E177" s="299" t="n"/>
      <c r="F177" s="300" t="n"/>
      <c r="G177" s="301" t="n"/>
      <c r="H177" s="302" t="n"/>
      <c r="I177" s="303" t="n"/>
      <c r="J177" s="304">
        <f>G177+H177+I177</f>
        <v/>
      </c>
      <c r="K177" s="304">
        <f>J177/E177</f>
        <v/>
      </c>
      <c r="L177" s="304">
        <f>J177/F177</f>
        <v/>
      </c>
      <c r="M177" s="158" t="n"/>
    </row>
    <row r="178" ht="15" customHeight="1" s="272">
      <c r="A178" s="287" t="n"/>
      <c r="B178" s="298" t="n"/>
      <c r="C178" s="298" t="n"/>
      <c r="D178" s="208" t="inlineStr">
        <is>
          <t>8月</t>
        </is>
      </c>
      <c r="E178" s="299" t="n"/>
      <c r="F178" s="300" t="n"/>
      <c r="G178" s="301" t="n"/>
      <c r="H178" s="302" t="n"/>
      <c r="I178" s="303" t="n"/>
      <c r="J178" s="304">
        <f>G178+H178+I178</f>
        <v/>
      </c>
      <c r="K178" s="304">
        <f>J178/E178</f>
        <v/>
      </c>
      <c r="L178" s="304">
        <f>J178/F178</f>
        <v/>
      </c>
      <c r="M178" s="158" t="n"/>
    </row>
    <row r="179" ht="15" customHeight="1" s="272">
      <c r="A179" s="287" t="n"/>
      <c r="B179" s="298" t="n"/>
      <c r="C179" s="298" t="n"/>
      <c r="D179" s="208" t="inlineStr">
        <is>
          <t>9月</t>
        </is>
      </c>
      <c r="E179" s="299" t="n"/>
      <c r="F179" s="300" t="n"/>
      <c r="G179" s="301" t="n"/>
      <c r="H179" s="302" t="n"/>
      <c r="I179" s="303" t="n"/>
      <c r="J179" s="304">
        <f>G179+H179+I179</f>
        <v/>
      </c>
      <c r="K179" s="304">
        <f>J179/E179</f>
        <v/>
      </c>
      <c r="L179" s="304">
        <f>J179/F179</f>
        <v/>
      </c>
      <c r="M179" s="158" t="n"/>
    </row>
    <row r="180" ht="15" customHeight="1" s="272">
      <c r="A180" s="287" t="n"/>
      <c r="B180" s="298" t="n"/>
      <c r="C180" s="298" t="n"/>
      <c r="D180" s="208" t="inlineStr">
        <is>
          <t>10月</t>
        </is>
      </c>
      <c r="E180" s="299" t="n"/>
      <c r="F180" s="300" t="n"/>
      <c r="G180" s="301" t="n"/>
      <c r="H180" s="302" t="n"/>
      <c r="I180" s="303" t="n"/>
      <c r="J180" s="304">
        <f>G180+H180+I180</f>
        <v/>
      </c>
      <c r="K180" s="304">
        <f>J180/E180</f>
        <v/>
      </c>
      <c r="L180" s="304">
        <f>J180/F180</f>
        <v/>
      </c>
      <c r="M180" s="158" t="n"/>
    </row>
    <row r="181" ht="15" customHeight="1" s="272">
      <c r="A181" s="287" t="n"/>
      <c r="B181" s="298" t="n"/>
      <c r="C181" s="298" t="n"/>
      <c r="D181" s="208" t="inlineStr">
        <is>
          <t>11月</t>
        </is>
      </c>
      <c r="E181" s="299" t="n"/>
      <c r="F181" s="300" t="n"/>
      <c r="G181" s="301" t="n"/>
      <c r="H181" s="302" t="n"/>
      <c r="I181" s="303" t="n"/>
      <c r="J181" s="304">
        <f>G181+H181+I181</f>
        <v/>
      </c>
      <c r="K181" s="304">
        <f>J181/E181</f>
        <v/>
      </c>
      <c r="L181" s="304">
        <f>J181/F181</f>
        <v/>
      </c>
      <c r="M181" s="158" t="n"/>
    </row>
    <row r="182" ht="15" customHeight="1" s="272">
      <c r="A182" s="287" t="n"/>
      <c r="B182" s="298" t="n"/>
      <c r="C182" s="298" t="n"/>
      <c r="D182" s="208" t="inlineStr">
        <is>
          <t>12月</t>
        </is>
      </c>
      <c r="E182" s="299" t="n"/>
      <c r="F182" s="300" t="n"/>
      <c r="G182" s="301" t="n"/>
      <c r="H182" s="302" t="n"/>
      <c r="I182" s="303" t="n"/>
      <c r="J182" s="304">
        <f>G182+H182+I182</f>
        <v/>
      </c>
      <c r="K182" s="304">
        <f>J182/E182</f>
        <v/>
      </c>
      <c r="L182" s="304">
        <f>J182/F182</f>
        <v/>
      </c>
      <c r="M182" s="158" t="n"/>
    </row>
    <row r="183" ht="15" customHeight="1" s="272">
      <c r="A183" s="287" t="n"/>
      <c r="B183" s="298" t="n"/>
      <c r="C183" s="298" t="n"/>
      <c r="D183" s="208" t="inlineStr">
        <is>
          <t>1月</t>
        </is>
      </c>
      <c r="E183" s="299" t="n"/>
      <c r="F183" s="300" t="n"/>
      <c r="G183" s="301" t="n"/>
      <c r="H183" s="302" t="n"/>
      <c r="I183" s="303" t="n"/>
      <c r="J183" s="304">
        <f>G183+H183+I183</f>
        <v/>
      </c>
      <c r="K183" s="304">
        <f>J183/E183</f>
        <v/>
      </c>
      <c r="L183" s="304">
        <f>J183/F183</f>
        <v/>
      </c>
      <c r="M183" s="158" t="n"/>
    </row>
    <row r="184" ht="15" customHeight="1" s="272">
      <c r="A184" s="287" t="n"/>
      <c r="B184" s="298" t="n"/>
      <c r="C184" s="298" t="n"/>
      <c r="D184" s="208" t="inlineStr">
        <is>
          <t>2月</t>
        </is>
      </c>
      <c r="E184" s="299" t="n">
        <v>4</v>
      </c>
      <c r="F184" s="300" t="n">
        <v>15.87</v>
      </c>
      <c r="G184" s="301" t="n">
        <v>5600</v>
      </c>
      <c r="H184" s="302" t="n"/>
      <c r="I184" s="303" t="n"/>
      <c r="J184" s="304">
        <f>G184+H184+I184</f>
        <v/>
      </c>
      <c r="K184" s="304">
        <f>J184/E184</f>
        <v/>
      </c>
      <c r="L184" s="304">
        <f>J184/F184</f>
        <v/>
      </c>
      <c r="M184" s="158" t="n"/>
    </row>
    <row r="185" ht="15" customHeight="1" s="272">
      <c r="A185" s="290" t="n"/>
      <c r="B185" s="305" t="n"/>
      <c r="C185" s="305" t="n"/>
      <c r="D185" s="211" t="inlineStr">
        <is>
          <t>3月</t>
        </is>
      </c>
      <c r="E185" s="306" t="n">
        <v>4</v>
      </c>
      <c r="F185" s="307" t="n">
        <v>15.88</v>
      </c>
      <c r="G185" s="308" t="n">
        <v>5600</v>
      </c>
      <c r="H185" s="309" t="n"/>
      <c r="I185" s="310" t="n"/>
      <c r="J185" s="311">
        <f>G185+H185+I185</f>
        <v/>
      </c>
      <c r="K185" s="311">
        <f>J185/E185</f>
        <v/>
      </c>
      <c r="L185" s="311">
        <f>J185/F185</f>
        <v/>
      </c>
      <c r="M185" s="165" t="n"/>
    </row>
    <row r="186" ht="15" customHeight="1" s="272">
      <c r="A186" s="291" t="n">
        <v>16</v>
      </c>
      <c r="B186" s="168" t="inlineStr">
        <is>
          <t>伊藤 由香</t>
        </is>
      </c>
      <c r="C186" s="168" t="inlineStr">
        <is>
          <t>精神</t>
        </is>
      </c>
      <c r="D186" s="205" t="inlineStr">
        <is>
          <t>4月</t>
        </is>
      </c>
      <c r="E186" s="292" t="n"/>
      <c r="F186" s="293" t="n"/>
      <c r="G186" s="294" t="n"/>
      <c r="H186" s="295" t="n"/>
      <c r="I186" s="296" t="n"/>
      <c r="J186" s="297">
        <f>G186+H186+I186</f>
        <v/>
      </c>
      <c r="K186" s="297">
        <f>J186/E186</f>
        <v/>
      </c>
      <c r="L186" s="297">
        <f>J186/F186</f>
        <v/>
      </c>
      <c r="M186" s="151" t="n"/>
    </row>
    <row r="187" ht="15" customHeight="1" s="272">
      <c r="A187" s="287" t="n"/>
      <c r="B187" s="298" t="n"/>
      <c r="C187" s="298" t="n"/>
      <c r="D187" s="208" t="inlineStr">
        <is>
          <t>5月</t>
        </is>
      </c>
      <c r="E187" s="299" t="n"/>
      <c r="F187" s="300" t="n"/>
      <c r="G187" s="301" t="n"/>
      <c r="H187" s="302" t="n"/>
      <c r="I187" s="303" t="n"/>
      <c r="J187" s="304">
        <f>G187+H187+I187</f>
        <v/>
      </c>
      <c r="K187" s="304">
        <f>J187/E187</f>
        <v/>
      </c>
      <c r="L187" s="304">
        <f>J187/F187</f>
        <v/>
      </c>
      <c r="M187" s="158" t="n"/>
    </row>
    <row r="188" ht="15" customHeight="1" s="272">
      <c r="A188" s="287" t="n"/>
      <c r="B188" s="298" t="n"/>
      <c r="C188" s="298" t="n"/>
      <c r="D188" s="208" t="inlineStr">
        <is>
          <t>6月</t>
        </is>
      </c>
      <c r="E188" s="299" t="n"/>
      <c r="F188" s="300" t="n"/>
      <c r="G188" s="301" t="n"/>
      <c r="H188" s="302" t="n"/>
      <c r="I188" s="303" t="n"/>
      <c r="J188" s="304">
        <f>G188+H188+I188</f>
        <v/>
      </c>
      <c r="K188" s="304">
        <f>J188/E188</f>
        <v/>
      </c>
      <c r="L188" s="304">
        <f>J188/F188</f>
        <v/>
      </c>
      <c r="M188" s="158" t="n"/>
    </row>
    <row r="189" ht="15" customHeight="1" s="272">
      <c r="A189" s="287" t="n"/>
      <c r="B189" s="298" t="n"/>
      <c r="C189" s="298" t="n"/>
      <c r="D189" s="208" t="inlineStr">
        <is>
          <t>7月</t>
        </is>
      </c>
      <c r="E189" s="299" t="n"/>
      <c r="F189" s="300" t="n"/>
      <c r="G189" s="301" t="n"/>
      <c r="H189" s="302" t="n"/>
      <c r="I189" s="303" t="n"/>
      <c r="J189" s="304">
        <f>G189+H189+I189</f>
        <v/>
      </c>
      <c r="K189" s="304">
        <f>J189/E189</f>
        <v/>
      </c>
      <c r="L189" s="304">
        <f>J189/F189</f>
        <v/>
      </c>
      <c r="M189" s="158" t="n"/>
    </row>
    <row r="190" ht="15" customHeight="1" s="272">
      <c r="A190" s="287" t="n"/>
      <c r="B190" s="298" t="n"/>
      <c r="C190" s="298" t="n"/>
      <c r="D190" s="208" t="inlineStr">
        <is>
          <t>8月</t>
        </is>
      </c>
      <c r="E190" s="299" t="n"/>
      <c r="F190" s="300" t="n"/>
      <c r="G190" s="301" t="n"/>
      <c r="H190" s="302" t="n"/>
      <c r="I190" s="303" t="n"/>
      <c r="J190" s="304">
        <f>G190+H190+I190</f>
        <v/>
      </c>
      <c r="K190" s="304">
        <f>J190/E190</f>
        <v/>
      </c>
      <c r="L190" s="304">
        <f>J190/F190</f>
        <v/>
      </c>
      <c r="M190" s="158" t="n"/>
    </row>
    <row r="191" ht="15" customHeight="1" s="272">
      <c r="A191" s="287" t="n"/>
      <c r="B191" s="298" t="n"/>
      <c r="C191" s="298" t="n"/>
      <c r="D191" s="208" t="inlineStr">
        <is>
          <t>9月</t>
        </is>
      </c>
      <c r="E191" s="299" t="n"/>
      <c r="F191" s="300" t="n"/>
      <c r="G191" s="301" t="n"/>
      <c r="H191" s="302" t="n"/>
      <c r="I191" s="303" t="n"/>
      <c r="J191" s="304">
        <f>G191+H191+I191</f>
        <v/>
      </c>
      <c r="K191" s="304">
        <f>J191/E191</f>
        <v/>
      </c>
      <c r="L191" s="304">
        <f>J191/F191</f>
        <v/>
      </c>
      <c r="M191" s="158" t="n"/>
    </row>
    <row r="192" ht="15" customHeight="1" s="272">
      <c r="A192" s="287" t="n"/>
      <c r="B192" s="298" t="n"/>
      <c r="C192" s="298" t="n"/>
      <c r="D192" s="208" t="inlineStr">
        <is>
          <t>10月</t>
        </is>
      </c>
      <c r="E192" s="299" t="n"/>
      <c r="F192" s="300" t="n"/>
      <c r="G192" s="301" t="n"/>
      <c r="H192" s="302" t="n"/>
      <c r="I192" s="303" t="n"/>
      <c r="J192" s="304">
        <f>G192+H192+I192</f>
        <v/>
      </c>
      <c r="K192" s="304">
        <f>J192/E192</f>
        <v/>
      </c>
      <c r="L192" s="304">
        <f>J192/F192</f>
        <v/>
      </c>
      <c r="M192" s="158" t="n"/>
    </row>
    <row r="193" ht="15" customHeight="1" s="272">
      <c r="A193" s="287" t="n"/>
      <c r="B193" s="298" t="n"/>
      <c r="C193" s="298" t="n"/>
      <c r="D193" s="208" t="inlineStr">
        <is>
          <t>11月</t>
        </is>
      </c>
      <c r="E193" s="299" t="n"/>
      <c r="F193" s="300" t="n"/>
      <c r="G193" s="301" t="n"/>
      <c r="H193" s="302" t="n"/>
      <c r="I193" s="303" t="n"/>
      <c r="J193" s="304">
        <f>G193+H193+I193</f>
        <v/>
      </c>
      <c r="K193" s="304">
        <f>J193/E193</f>
        <v/>
      </c>
      <c r="L193" s="304">
        <f>J193/F193</f>
        <v/>
      </c>
      <c r="M193" s="158" t="n"/>
    </row>
    <row r="194" ht="15" customHeight="1" s="272">
      <c r="A194" s="287" t="n"/>
      <c r="B194" s="298" t="n"/>
      <c r="C194" s="298" t="n"/>
      <c r="D194" s="208" t="inlineStr">
        <is>
          <t>12月</t>
        </is>
      </c>
      <c r="E194" s="299" t="n"/>
      <c r="F194" s="300" t="n"/>
      <c r="G194" s="301" t="n"/>
      <c r="H194" s="302" t="n"/>
      <c r="I194" s="303" t="n"/>
      <c r="J194" s="304">
        <f>G194+H194+I194</f>
        <v/>
      </c>
      <c r="K194" s="304">
        <f>J194/E194</f>
        <v/>
      </c>
      <c r="L194" s="304">
        <f>J194/F194</f>
        <v/>
      </c>
      <c r="M194" s="158" t="n"/>
    </row>
    <row r="195" ht="15" customHeight="1" s="272">
      <c r="A195" s="287" t="n"/>
      <c r="B195" s="298" t="n"/>
      <c r="C195" s="298" t="n"/>
      <c r="D195" s="208" t="inlineStr">
        <is>
          <t>1月</t>
        </is>
      </c>
      <c r="E195" s="299" t="n"/>
      <c r="F195" s="300" t="n"/>
      <c r="G195" s="301" t="n"/>
      <c r="H195" s="302" t="n"/>
      <c r="I195" s="303" t="n"/>
      <c r="J195" s="304">
        <f>G195+H195+I195</f>
        <v/>
      </c>
      <c r="K195" s="304">
        <f>J195/E195</f>
        <v/>
      </c>
      <c r="L195" s="304">
        <f>J195/F195</f>
        <v/>
      </c>
      <c r="M195" s="158" t="n"/>
    </row>
    <row r="196" ht="15" customHeight="1" s="272">
      <c r="A196" s="287" t="n"/>
      <c r="B196" s="298" t="n"/>
      <c r="C196" s="298" t="n"/>
      <c r="D196" s="208" t="inlineStr">
        <is>
          <t>2月</t>
        </is>
      </c>
      <c r="E196" s="299" t="n"/>
      <c r="F196" s="300" t="n"/>
      <c r="G196" s="301" t="n"/>
      <c r="H196" s="302" t="n"/>
      <c r="I196" s="303" t="n"/>
      <c r="J196" s="304">
        <f>G196+H196+I196</f>
        <v/>
      </c>
      <c r="K196" s="304">
        <f>J196/E196</f>
        <v/>
      </c>
      <c r="L196" s="304">
        <f>J196/F196</f>
        <v/>
      </c>
      <c r="M196" s="158" t="n"/>
    </row>
    <row r="197" ht="15" customHeight="1" s="272">
      <c r="A197" s="290" t="n"/>
      <c r="B197" s="305" t="n"/>
      <c r="C197" s="305" t="n"/>
      <c r="D197" s="211" t="inlineStr">
        <is>
          <t>3月</t>
        </is>
      </c>
      <c r="E197" s="306" t="n">
        <v>7</v>
      </c>
      <c r="F197" s="307" t="n">
        <v>26</v>
      </c>
      <c r="G197" s="308" t="n">
        <v>9800</v>
      </c>
      <c r="H197" s="309" t="n"/>
      <c r="I197" s="310" t="n"/>
      <c r="J197" s="311">
        <f>G197+H197+I197</f>
        <v/>
      </c>
      <c r="K197" s="311">
        <f>J197/E197</f>
        <v/>
      </c>
      <c r="L197" s="311">
        <f>J197/F197</f>
        <v/>
      </c>
      <c r="M197" s="165" t="n"/>
    </row>
    <row r="198" ht="15" customHeight="1" s="272">
      <c r="A198" s="291" t="n">
        <v>17</v>
      </c>
      <c r="B198" s="168" t="inlineStr">
        <is>
          <t>裏 ゆいの</t>
        </is>
      </c>
      <c r="C198" s="168" t="inlineStr">
        <is>
          <t>精神</t>
        </is>
      </c>
      <c r="D198" s="205" t="inlineStr">
        <is>
          <t>4月</t>
        </is>
      </c>
      <c r="E198" s="292" t="n"/>
      <c r="F198" s="293" t="n"/>
      <c r="G198" s="294" t="n"/>
      <c r="H198" s="295" t="n"/>
      <c r="I198" s="296" t="n"/>
      <c r="J198" s="297">
        <f>G198+H198+I198</f>
        <v/>
      </c>
      <c r="K198" s="297">
        <f>J198/E198</f>
        <v/>
      </c>
      <c r="L198" s="297">
        <f>J198/F198</f>
        <v/>
      </c>
      <c r="M198" s="151" t="n"/>
    </row>
    <row r="199" ht="15" customHeight="1" s="272">
      <c r="A199" s="287" t="n"/>
      <c r="B199" s="298" t="n"/>
      <c r="C199" s="298" t="n"/>
      <c r="D199" s="208" t="inlineStr">
        <is>
          <t>5月</t>
        </is>
      </c>
      <c r="E199" s="299" t="n"/>
      <c r="F199" s="300" t="n"/>
      <c r="G199" s="301" t="n"/>
      <c r="H199" s="302" t="n"/>
      <c r="I199" s="303" t="n"/>
      <c r="J199" s="304">
        <f>G199+H199+I199</f>
        <v/>
      </c>
      <c r="K199" s="304">
        <f>J199/E199</f>
        <v/>
      </c>
      <c r="L199" s="304">
        <f>J199/F199</f>
        <v/>
      </c>
      <c r="M199" s="158" t="n"/>
    </row>
    <row r="200" ht="15" customHeight="1" s="272">
      <c r="A200" s="287" t="n"/>
      <c r="B200" s="298" t="n"/>
      <c r="C200" s="298" t="n"/>
      <c r="D200" s="208" t="inlineStr">
        <is>
          <t>6月</t>
        </is>
      </c>
      <c r="E200" s="299" t="n"/>
      <c r="F200" s="300" t="n"/>
      <c r="G200" s="301" t="n"/>
      <c r="H200" s="302" t="n"/>
      <c r="I200" s="303" t="n"/>
      <c r="J200" s="304">
        <f>G200+H200+I200</f>
        <v/>
      </c>
      <c r="K200" s="304">
        <f>J200/E200</f>
        <v/>
      </c>
      <c r="L200" s="304">
        <f>J200/F200</f>
        <v/>
      </c>
      <c r="M200" s="158" t="n"/>
    </row>
    <row r="201" ht="15" customHeight="1" s="272">
      <c r="A201" s="287" t="n"/>
      <c r="B201" s="298" t="n"/>
      <c r="C201" s="298" t="n"/>
      <c r="D201" s="208" t="inlineStr">
        <is>
          <t>7月</t>
        </is>
      </c>
      <c r="E201" s="299" t="n"/>
      <c r="F201" s="300" t="n"/>
      <c r="G201" s="301" t="n"/>
      <c r="H201" s="302" t="n"/>
      <c r="I201" s="303" t="n"/>
      <c r="J201" s="304">
        <f>G201+H201+I201</f>
        <v/>
      </c>
      <c r="K201" s="304">
        <f>J201/E201</f>
        <v/>
      </c>
      <c r="L201" s="304">
        <f>J201/F201</f>
        <v/>
      </c>
      <c r="M201" s="158" t="n"/>
    </row>
    <row r="202" ht="15" customHeight="1" s="272">
      <c r="A202" s="287" t="n"/>
      <c r="B202" s="298" t="n"/>
      <c r="C202" s="298" t="n"/>
      <c r="D202" s="208" t="inlineStr">
        <is>
          <t>8月</t>
        </is>
      </c>
      <c r="E202" s="299" t="n"/>
      <c r="F202" s="300" t="n"/>
      <c r="G202" s="301" t="n"/>
      <c r="H202" s="302" t="n"/>
      <c r="I202" s="303" t="n"/>
      <c r="J202" s="304">
        <f>G202+H202+I202</f>
        <v/>
      </c>
      <c r="K202" s="304">
        <f>J202/E202</f>
        <v/>
      </c>
      <c r="L202" s="304">
        <f>J202/F202</f>
        <v/>
      </c>
      <c r="M202" s="158" t="n"/>
    </row>
    <row r="203" ht="15" customHeight="1" s="272">
      <c r="A203" s="287" t="n"/>
      <c r="B203" s="298" t="n"/>
      <c r="C203" s="298" t="n"/>
      <c r="D203" s="208" t="inlineStr">
        <is>
          <t>9月</t>
        </is>
      </c>
      <c r="E203" s="299" t="n"/>
      <c r="F203" s="300" t="n"/>
      <c r="G203" s="301" t="n"/>
      <c r="H203" s="302" t="n"/>
      <c r="I203" s="303" t="n"/>
      <c r="J203" s="304">
        <f>G203+H203+I203</f>
        <v/>
      </c>
      <c r="K203" s="304">
        <f>J203/E203</f>
        <v/>
      </c>
      <c r="L203" s="304">
        <f>J203/F203</f>
        <v/>
      </c>
      <c r="M203" s="158" t="n"/>
    </row>
    <row r="204" ht="15" customHeight="1" s="272">
      <c r="A204" s="287" t="n"/>
      <c r="B204" s="298" t="n"/>
      <c r="C204" s="298" t="n"/>
      <c r="D204" s="208" t="inlineStr">
        <is>
          <t>10月</t>
        </is>
      </c>
      <c r="E204" s="299" t="n"/>
      <c r="F204" s="300" t="n"/>
      <c r="G204" s="301" t="n"/>
      <c r="H204" s="302" t="n"/>
      <c r="I204" s="303" t="n"/>
      <c r="J204" s="304">
        <f>G204+H204+I204</f>
        <v/>
      </c>
      <c r="K204" s="304">
        <f>J204/E204</f>
        <v/>
      </c>
      <c r="L204" s="304">
        <f>J204/F204</f>
        <v/>
      </c>
      <c r="M204" s="158" t="n"/>
    </row>
    <row r="205" ht="15" customHeight="1" s="272">
      <c r="A205" s="287" t="n"/>
      <c r="B205" s="298" t="n"/>
      <c r="C205" s="298" t="n"/>
      <c r="D205" s="208" t="inlineStr">
        <is>
          <t>11月</t>
        </is>
      </c>
      <c r="E205" s="299" t="n"/>
      <c r="F205" s="300" t="n"/>
      <c r="G205" s="301" t="n"/>
      <c r="H205" s="302" t="n"/>
      <c r="I205" s="303" t="n"/>
      <c r="J205" s="304">
        <f>G205+H205+I205</f>
        <v/>
      </c>
      <c r="K205" s="304">
        <f>J205/E205</f>
        <v/>
      </c>
      <c r="L205" s="304">
        <f>J205/F205</f>
        <v/>
      </c>
      <c r="M205" s="158" t="n"/>
    </row>
    <row r="206" ht="15" customHeight="1" s="272">
      <c r="A206" s="287" t="n"/>
      <c r="B206" s="298" t="n"/>
      <c r="C206" s="298" t="n"/>
      <c r="D206" s="208" t="inlineStr">
        <is>
          <t>12月</t>
        </is>
      </c>
      <c r="E206" s="299" t="n"/>
      <c r="F206" s="300" t="n"/>
      <c r="G206" s="301" t="n"/>
      <c r="H206" s="302" t="n"/>
      <c r="I206" s="303" t="n"/>
      <c r="J206" s="304">
        <f>G206+H206+I206</f>
        <v/>
      </c>
      <c r="K206" s="304">
        <f>J206/E206</f>
        <v/>
      </c>
      <c r="L206" s="304">
        <f>J206/F206</f>
        <v/>
      </c>
      <c r="M206" s="158" t="n"/>
    </row>
    <row r="207" ht="15" customHeight="1" s="272">
      <c r="A207" s="287" t="n"/>
      <c r="B207" s="298" t="n"/>
      <c r="C207" s="298" t="n"/>
      <c r="D207" s="208" t="inlineStr">
        <is>
          <t>1月</t>
        </is>
      </c>
      <c r="E207" s="299" t="n"/>
      <c r="F207" s="300" t="n"/>
      <c r="G207" s="301" t="n"/>
      <c r="H207" s="302" t="n"/>
      <c r="I207" s="303" t="n"/>
      <c r="J207" s="304">
        <f>G207+H207+I207</f>
        <v/>
      </c>
      <c r="K207" s="304">
        <f>J207/E207</f>
        <v/>
      </c>
      <c r="L207" s="304">
        <f>J207/F207</f>
        <v/>
      </c>
      <c r="M207" s="158" t="n"/>
    </row>
    <row r="208" ht="15" customHeight="1" s="272">
      <c r="A208" s="287" t="n"/>
      <c r="B208" s="298" t="n"/>
      <c r="C208" s="298" t="n"/>
      <c r="D208" s="208" t="inlineStr">
        <is>
          <t>2月</t>
        </is>
      </c>
      <c r="E208" s="299" t="n"/>
      <c r="F208" s="300" t="n"/>
      <c r="G208" s="301" t="n"/>
      <c r="H208" s="302" t="n"/>
      <c r="I208" s="303" t="n"/>
      <c r="J208" s="304">
        <f>G208+H208+I208</f>
        <v/>
      </c>
      <c r="K208" s="304">
        <f>J208/E208</f>
        <v/>
      </c>
      <c r="L208" s="304">
        <f>J208/F208</f>
        <v/>
      </c>
      <c r="M208" s="158" t="n"/>
    </row>
    <row r="209" ht="15" customHeight="1" s="272">
      <c r="A209" s="290" t="n"/>
      <c r="B209" s="305" t="n"/>
      <c r="C209" s="305" t="n"/>
      <c r="D209" s="211" t="inlineStr">
        <is>
          <t>3月</t>
        </is>
      </c>
      <c r="E209" s="306" t="n">
        <v>5</v>
      </c>
      <c r="F209" s="307" t="n">
        <v>18</v>
      </c>
      <c r="G209" s="308" t="n">
        <v>6300</v>
      </c>
      <c r="H209" s="309" t="n"/>
      <c r="I209" s="310" t="n"/>
      <c r="J209" s="311">
        <f>G209+H209+I209</f>
        <v/>
      </c>
      <c r="K209" s="311">
        <f>J209/E209</f>
        <v/>
      </c>
      <c r="L209" s="311">
        <f>J209/F209</f>
        <v/>
      </c>
      <c r="M209" s="165" t="n"/>
    </row>
    <row r="210" ht="15" customHeight="1" s="272">
      <c r="A210" s="291" t="n">
        <v>18</v>
      </c>
      <c r="B210" s="168" t="inlineStr">
        <is>
          <t>首藤 唯希</t>
        </is>
      </c>
      <c r="C210" s="168" t="inlineStr">
        <is>
          <t>精神</t>
        </is>
      </c>
      <c r="D210" s="205" t="inlineStr">
        <is>
          <t>4月</t>
        </is>
      </c>
      <c r="E210" s="292" t="n"/>
      <c r="F210" s="293" t="n"/>
      <c r="G210" s="294" t="n"/>
      <c r="H210" s="295" t="n"/>
      <c r="I210" s="296" t="n"/>
      <c r="J210" s="297">
        <f>G210+H210+I210</f>
        <v/>
      </c>
      <c r="K210" s="297">
        <f>J210/E210</f>
        <v/>
      </c>
      <c r="L210" s="297">
        <f>J210/F210</f>
        <v/>
      </c>
      <c r="M210" s="151" t="n"/>
    </row>
    <row r="211" ht="15" customHeight="1" s="272">
      <c r="A211" s="287" t="n"/>
      <c r="B211" s="298" t="n"/>
      <c r="C211" s="298" t="n"/>
      <c r="D211" s="208" t="inlineStr">
        <is>
          <t>5月</t>
        </is>
      </c>
      <c r="E211" s="299" t="n"/>
      <c r="F211" s="300" t="n"/>
      <c r="G211" s="301" t="n"/>
      <c r="H211" s="302" t="n"/>
      <c r="I211" s="303" t="n"/>
      <c r="J211" s="304">
        <f>G211+H211+I211</f>
        <v/>
      </c>
      <c r="K211" s="304">
        <f>J211/E211</f>
        <v/>
      </c>
      <c r="L211" s="304">
        <f>J211/F211</f>
        <v/>
      </c>
      <c r="M211" s="158" t="n"/>
    </row>
    <row r="212" ht="15" customHeight="1" s="272">
      <c r="A212" s="287" t="n"/>
      <c r="B212" s="298" t="n"/>
      <c r="C212" s="298" t="n"/>
      <c r="D212" s="208" t="inlineStr">
        <is>
          <t>6月</t>
        </is>
      </c>
      <c r="E212" s="299" t="n"/>
      <c r="F212" s="300" t="n"/>
      <c r="G212" s="301" t="n"/>
      <c r="H212" s="302" t="n"/>
      <c r="I212" s="303" t="n"/>
      <c r="J212" s="304">
        <f>G212+H212+I212</f>
        <v/>
      </c>
      <c r="K212" s="304">
        <f>J212/E212</f>
        <v/>
      </c>
      <c r="L212" s="304">
        <f>J212/F212</f>
        <v/>
      </c>
      <c r="M212" s="158" t="n"/>
    </row>
    <row r="213" ht="15" customHeight="1" s="272">
      <c r="A213" s="287" t="n"/>
      <c r="B213" s="298" t="n"/>
      <c r="C213" s="298" t="n"/>
      <c r="D213" s="208" t="inlineStr">
        <is>
          <t>7月</t>
        </is>
      </c>
      <c r="E213" s="299" t="n"/>
      <c r="F213" s="300" t="n"/>
      <c r="G213" s="301" t="n"/>
      <c r="H213" s="302" t="n"/>
      <c r="I213" s="303" t="n"/>
      <c r="J213" s="304">
        <f>G213+H213+I213</f>
        <v/>
      </c>
      <c r="K213" s="304">
        <f>J213/E213</f>
        <v/>
      </c>
      <c r="L213" s="304">
        <f>J213/F213</f>
        <v/>
      </c>
      <c r="M213" s="158" t="n"/>
    </row>
    <row r="214" ht="15" customHeight="1" s="272">
      <c r="A214" s="287" t="n"/>
      <c r="B214" s="298" t="n"/>
      <c r="C214" s="298" t="n"/>
      <c r="D214" s="208" t="inlineStr">
        <is>
          <t>8月</t>
        </is>
      </c>
      <c r="E214" s="299" t="n"/>
      <c r="F214" s="300" t="n"/>
      <c r="G214" s="301" t="n"/>
      <c r="H214" s="302" t="n"/>
      <c r="I214" s="303" t="n"/>
      <c r="J214" s="304">
        <f>G214+H214+I214</f>
        <v/>
      </c>
      <c r="K214" s="304">
        <f>J214/E214</f>
        <v/>
      </c>
      <c r="L214" s="304">
        <f>J214/F214</f>
        <v/>
      </c>
      <c r="M214" s="158" t="n"/>
    </row>
    <row r="215" ht="15" customHeight="1" s="272">
      <c r="A215" s="287" t="n"/>
      <c r="B215" s="298" t="n"/>
      <c r="C215" s="298" t="n"/>
      <c r="D215" s="208" t="inlineStr">
        <is>
          <t>9月</t>
        </is>
      </c>
      <c r="E215" s="299" t="n"/>
      <c r="F215" s="300" t="n"/>
      <c r="G215" s="301" t="n"/>
      <c r="H215" s="302" t="n"/>
      <c r="I215" s="303" t="n"/>
      <c r="J215" s="304">
        <f>G215+H215+I215</f>
        <v/>
      </c>
      <c r="K215" s="304">
        <f>J215/E215</f>
        <v/>
      </c>
      <c r="L215" s="304">
        <f>J215/F215</f>
        <v/>
      </c>
      <c r="M215" s="158" t="n"/>
    </row>
    <row r="216" ht="15" customHeight="1" s="272">
      <c r="A216" s="287" t="n"/>
      <c r="B216" s="298" t="n"/>
      <c r="C216" s="298" t="n"/>
      <c r="D216" s="208" t="inlineStr">
        <is>
          <t>10月</t>
        </is>
      </c>
      <c r="E216" s="299" t="n"/>
      <c r="F216" s="300" t="n"/>
      <c r="G216" s="301" t="n"/>
      <c r="H216" s="302" t="n"/>
      <c r="I216" s="303" t="n"/>
      <c r="J216" s="304">
        <f>G216+H216+I216</f>
        <v/>
      </c>
      <c r="K216" s="304">
        <f>J216/E216</f>
        <v/>
      </c>
      <c r="L216" s="304">
        <f>J216/F216</f>
        <v/>
      </c>
      <c r="M216" s="158" t="n"/>
    </row>
    <row r="217" ht="15" customHeight="1" s="272">
      <c r="A217" s="287" t="n"/>
      <c r="B217" s="298" t="n"/>
      <c r="C217" s="298" t="n"/>
      <c r="D217" s="208" t="inlineStr">
        <is>
          <t>11月</t>
        </is>
      </c>
      <c r="E217" s="299" t="n"/>
      <c r="F217" s="300" t="n"/>
      <c r="G217" s="301" t="n"/>
      <c r="H217" s="302" t="n"/>
      <c r="I217" s="303" t="n"/>
      <c r="J217" s="304">
        <f>G217+H217+I217</f>
        <v/>
      </c>
      <c r="K217" s="304">
        <f>J217/E217</f>
        <v/>
      </c>
      <c r="L217" s="304">
        <f>J217/F217</f>
        <v/>
      </c>
      <c r="M217" s="158" t="n"/>
    </row>
    <row r="218" ht="15" customHeight="1" s="272">
      <c r="A218" s="287" t="n"/>
      <c r="B218" s="298" t="n"/>
      <c r="C218" s="298" t="n"/>
      <c r="D218" s="208" t="inlineStr">
        <is>
          <t>12月</t>
        </is>
      </c>
      <c r="E218" s="299" t="n"/>
      <c r="F218" s="300" t="n"/>
      <c r="G218" s="301" t="n"/>
      <c r="H218" s="302" t="n"/>
      <c r="I218" s="303" t="n"/>
      <c r="J218" s="304">
        <f>G218+H218+I218</f>
        <v/>
      </c>
      <c r="K218" s="304">
        <f>J218/E218</f>
        <v/>
      </c>
      <c r="L218" s="304">
        <f>J218/F218</f>
        <v/>
      </c>
      <c r="M218" s="158" t="n"/>
    </row>
    <row r="219" ht="15" customHeight="1" s="272">
      <c r="A219" s="287" t="n"/>
      <c r="B219" s="298" t="n"/>
      <c r="C219" s="298" t="n"/>
      <c r="D219" s="208" t="inlineStr">
        <is>
          <t>1月</t>
        </is>
      </c>
      <c r="E219" s="299" t="n"/>
      <c r="F219" s="300" t="n"/>
      <c r="G219" s="301" t="n"/>
      <c r="H219" s="302" t="n"/>
      <c r="I219" s="303" t="n"/>
      <c r="J219" s="304">
        <f>G219+H219+I219</f>
        <v/>
      </c>
      <c r="K219" s="304">
        <f>J219/E219</f>
        <v/>
      </c>
      <c r="L219" s="304">
        <f>J219/F219</f>
        <v/>
      </c>
      <c r="M219" s="158" t="n"/>
    </row>
    <row r="220" ht="15" customHeight="1" s="272">
      <c r="A220" s="287" t="n"/>
      <c r="B220" s="298" t="n"/>
      <c r="C220" s="298" t="n"/>
      <c r="D220" s="208" t="inlineStr">
        <is>
          <t>2月</t>
        </is>
      </c>
      <c r="E220" s="299" t="n"/>
      <c r="F220" s="300" t="n"/>
      <c r="G220" s="301" t="n"/>
      <c r="H220" s="302" t="n"/>
      <c r="I220" s="303" t="n"/>
      <c r="J220" s="304">
        <f>G220+H220+I220</f>
        <v/>
      </c>
      <c r="K220" s="304">
        <f>J220/E220</f>
        <v/>
      </c>
      <c r="L220" s="304">
        <f>J220/F220</f>
        <v/>
      </c>
      <c r="M220" s="158" t="n"/>
    </row>
    <row r="221" ht="15" customHeight="1" s="272">
      <c r="A221" s="290" t="n"/>
      <c r="B221" s="305" t="n"/>
      <c r="C221" s="305" t="n"/>
      <c r="D221" s="211" t="inlineStr">
        <is>
          <t>3月</t>
        </is>
      </c>
      <c r="E221" s="306" t="n">
        <v>5</v>
      </c>
      <c r="F221" s="307" t="n">
        <v>18</v>
      </c>
      <c r="G221" s="308" t="n">
        <v>7000</v>
      </c>
      <c r="H221" s="309" t="n"/>
      <c r="I221" s="310" t="n"/>
      <c r="J221" s="312">
        <f>G221+H221+I221</f>
        <v/>
      </c>
      <c r="K221" s="312">
        <f>J221/E221</f>
        <v/>
      </c>
      <c r="L221" s="312">
        <f>J221/F221</f>
        <v/>
      </c>
      <c r="M221" s="165" t="n"/>
    </row>
    <row r="222" ht="15" customHeight="1" s="272">
      <c r="A222" s="291" t="n">
        <v>19</v>
      </c>
      <c r="B222" s="168" t="inlineStr">
        <is>
          <t>藤井 陽菜多</t>
        </is>
      </c>
      <c r="C222" s="168" t="inlineStr">
        <is>
          <t>精神</t>
        </is>
      </c>
      <c r="D222" s="205" t="inlineStr">
        <is>
          <t>4月</t>
        </is>
      </c>
      <c r="E222" s="292" t="n"/>
      <c r="F222" s="293" t="n"/>
      <c r="G222" s="294" t="n"/>
      <c r="H222" s="295" t="n"/>
      <c r="I222" s="296" t="n"/>
      <c r="J222" s="297">
        <f>G222+H222+I222</f>
        <v/>
      </c>
      <c r="K222" s="297">
        <f>J222/E222</f>
        <v/>
      </c>
      <c r="L222" s="297">
        <f>J222/F222</f>
        <v/>
      </c>
      <c r="M222" s="151" t="n"/>
    </row>
    <row r="223" ht="15" customHeight="1" s="272">
      <c r="A223" s="287" t="n"/>
      <c r="B223" s="298" t="n"/>
      <c r="C223" s="298" t="n"/>
      <c r="D223" s="208" t="inlineStr">
        <is>
          <t>5月</t>
        </is>
      </c>
      <c r="E223" s="299" t="n"/>
      <c r="F223" s="300" t="n"/>
      <c r="G223" s="301" t="n"/>
      <c r="H223" s="302" t="n"/>
      <c r="I223" s="303" t="n"/>
      <c r="J223" s="304">
        <f>G223+H223+I223</f>
        <v/>
      </c>
      <c r="K223" s="304">
        <f>J223/E223</f>
        <v/>
      </c>
      <c r="L223" s="304">
        <f>J223/F223</f>
        <v/>
      </c>
      <c r="M223" s="158" t="n"/>
    </row>
    <row r="224" ht="15" customHeight="1" s="272">
      <c r="A224" s="287" t="n"/>
      <c r="B224" s="298" t="n"/>
      <c r="C224" s="298" t="n"/>
      <c r="D224" s="208" t="inlineStr">
        <is>
          <t>6月</t>
        </is>
      </c>
      <c r="E224" s="299" t="n"/>
      <c r="F224" s="300" t="n"/>
      <c r="G224" s="301" t="n"/>
      <c r="H224" s="302" t="n"/>
      <c r="I224" s="303" t="n"/>
      <c r="J224" s="304">
        <f>G224+H224+I224</f>
        <v/>
      </c>
      <c r="K224" s="304">
        <f>J224/E224</f>
        <v/>
      </c>
      <c r="L224" s="304">
        <f>J224/F224</f>
        <v/>
      </c>
      <c r="M224" s="158" t="n"/>
    </row>
    <row r="225" ht="15" customHeight="1" s="272">
      <c r="A225" s="287" t="n"/>
      <c r="B225" s="298" t="n"/>
      <c r="C225" s="298" t="n"/>
      <c r="D225" s="208" t="inlineStr">
        <is>
          <t>7月</t>
        </is>
      </c>
      <c r="E225" s="299" t="n"/>
      <c r="F225" s="300" t="n"/>
      <c r="G225" s="301" t="n"/>
      <c r="H225" s="302" t="n"/>
      <c r="I225" s="303" t="n"/>
      <c r="J225" s="304">
        <f>G225+H225+I225</f>
        <v/>
      </c>
      <c r="K225" s="304">
        <f>J225/E225</f>
        <v/>
      </c>
      <c r="L225" s="304">
        <f>J225/F225</f>
        <v/>
      </c>
      <c r="M225" s="158" t="n"/>
    </row>
    <row r="226" ht="15" customHeight="1" s="272">
      <c r="A226" s="287" t="n"/>
      <c r="B226" s="298" t="n"/>
      <c r="C226" s="298" t="n"/>
      <c r="D226" s="208" t="inlineStr">
        <is>
          <t>8月</t>
        </is>
      </c>
      <c r="E226" s="299" t="n"/>
      <c r="F226" s="300" t="n"/>
      <c r="G226" s="301" t="n"/>
      <c r="H226" s="302" t="n"/>
      <c r="I226" s="303" t="n"/>
      <c r="J226" s="304">
        <f>G226+H226+I226</f>
        <v/>
      </c>
      <c r="K226" s="304">
        <f>J226/E226</f>
        <v/>
      </c>
      <c r="L226" s="304">
        <f>J226/F226</f>
        <v/>
      </c>
      <c r="M226" s="158" t="n"/>
    </row>
    <row r="227" ht="15" customHeight="1" s="272">
      <c r="A227" s="287" t="n"/>
      <c r="B227" s="298" t="n"/>
      <c r="C227" s="298" t="n"/>
      <c r="D227" s="208" t="inlineStr">
        <is>
          <t>9月</t>
        </is>
      </c>
      <c r="E227" s="299" t="n"/>
      <c r="F227" s="300" t="n"/>
      <c r="G227" s="301" t="n"/>
      <c r="H227" s="302" t="n"/>
      <c r="I227" s="303" t="n"/>
      <c r="J227" s="304">
        <f>G227+H227+I227</f>
        <v/>
      </c>
      <c r="K227" s="304">
        <f>J227/E227</f>
        <v/>
      </c>
      <c r="L227" s="304">
        <f>J227/F227</f>
        <v/>
      </c>
      <c r="M227" s="158" t="n"/>
    </row>
    <row r="228" ht="15" customHeight="1" s="272">
      <c r="A228" s="287" t="n"/>
      <c r="B228" s="298" t="n"/>
      <c r="C228" s="298" t="n"/>
      <c r="D228" s="208" t="inlineStr">
        <is>
          <t>10月</t>
        </is>
      </c>
      <c r="E228" s="299" t="n"/>
      <c r="F228" s="300" t="n"/>
      <c r="G228" s="301" t="n"/>
      <c r="H228" s="302" t="n"/>
      <c r="I228" s="303" t="n"/>
      <c r="J228" s="304">
        <f>G228+H228+I228</f>
        <v/>
      </c>
      <c r="K228" s="304">
        <f>J228/E228</f>
        <v/>
      </c>
      <c r="L228" s="304">
        <f>J228/F228</f>
        <v/>
      </c>
      <c r="M228" s="158" t="n"/>
    </row>
    <row r="229" ht="15" customHeight="1" s="272">
      <c r="A229" s="287" t="n"/>
      <c r="B229" s="298" t="n"/>
      <c r="C229" s="298" t="n"/>
      <c r="D229" s="208" t="inlineStr">
        <is>
          <t>11月</t>
        </is>
      </c>
      <c r="E229" s="299" t="n"/>
      <c r="F229" s="300" t="n"/>
      <c r="G229" s="301" t="n"/>
      <c r="H229" s="302" t="n"/>
      <c r="I229" s="303" t="n"/>
      <c r="J229" s="304">
        <f>G229+H229+I229</f>
        <v/>
      </c>
      <c r="K229" s="304">
        <f>J229/E229</f>
        <v/>
      </c>
      <c r="L229" s="304">
        <f>J229/F229</f>
        <v/>
      </c>
      <c r="M229" s="158" t="n"/>
    </row>
    <row r="230" ht="15" customHeight="1" s="272">
      <c r="A230" s="287" t="n"/>
      <c r="B230" s="298" t="n"/>
      <c r="C230" s="298" t="n"/>
      <c r="D230" s="208" t="inlineStr">
        <is>
          <t>12月</t>
        </is>
      </c>
      <c r="E230" s="299" t="n"/>
      <c r="F230" s="300" t="n"/>
      <c r="G230" s="301" t="n"/>
      <c r="H230" s="302" t="n"/>
      <c r="I230" s="303" t="n"/>
      <c r="J230" s="304">
        <f>G230+H230+I230</f>
        <v/>
      </c>
      <c r="K230" s="304">
        <f>J230/E230</f>
        <v/>
      </c>
      <c r="L230" s="304">
        <f>J230/F230</f>
        <v/>
      </c>
      <c r="M230" s="158" t="n"/>
    </row>
    <row r="231" ht="15" customHeight="1" s="272">
      <c r="A231" s="287" t="n"/>
      <c r="B231" s="298" t="n"/>
      <c r="C231" s="298" t="n"/>
      <c r="D231" s="208" t="inlineStr">
        <is>
          <t>1月</t>
        </is>
      </c>
      <c r="E231" s="299" t="n"/>
      <c r="F231" s="300" t="n"/>
      <c r="G231" s="301" t="n"/>
      <c r="H231" s="302" t="n"/>
      <c r="I231" s="303" t="n"/>
      <c r="J231" s="304">
        <f>G231+H231+I231</f>
        <v/>
      </c>
      <c r="K231" s="304">
        <f>J231/E231</f>
        <v/>
      </c>
      <c r="L231" s="304">
        <f>J231/F231</f>
        <v/>
      </c>
      <c r="M231" s="158" t="n"/>
    </row>
    <row r="232" ht="15" customHeight="1" s="272">
      <c r="A232" s="287" t="n"/>
      <c r="B232" s="298" t="n"/>
      <c r="C232" s="298" t="n"/>
      <c r="D232" s="208" t="inlineStr">
        <is>
          <t>2月</t>
        </is>
      </c>
      <c r="E232" s="299" t="n"/>
      <c r="F232" s="300" t="n"/>
      <c r="G232" s="301" t="n"/>
      <c r="H232" s="302" t="n"/>
      <c r="I232" s="303" t="n"/>
      <c r="J232" s="304">
        <f>G232+H232+I232</f>
        <v/>
      </c>
      <c r="K232" s="304">
        <f>J232/E232</f>
        <v/>
      </c>
      <c r="L232" s="304">
        <f>J232/F232</f>
        <v/>
      </c>
      <c r="M232" s="158" t="n"/>
    </row>
    <row r="233" ht="15" customHeight="1" s="272">
      <c r="A233" s="290" t="n"/>
      <c r="B233" s="305" t="n"/>
      <c r="C233" s="305" t="n"/>
      <c r="D233" s="211" t="inlineStr">
        <is>
          <t>3月</t>
        </is>
      </c>
      <c r="E233" s="306" t="n">
        <v>3</v>
      </c>
      <c r="F233" s="307" t="n">
        <v>7</v>
      </c>
      <c r="G233" s="308" t="n">
        <v>5600</v>
      </c>
      <c r="H233" s="309" t="n"/>
      <c r="I233" s="310" t="n"/>
      <c r="J233" s="311">
        <f>G233+H233+I233</f>
        <v/>
      </c>
      <c r="K233" s="311">
        <f>J233/E233</f>
        <v/>
      </c>
      <c r="L233" s="311">
        <f>J233/F233</f>
        <v/>
      </c>
      <c r="M233" s="165" t="n"/>
    </row>
    <row r="234" ht="15" customHeight="1" s="272">
      <c r="A234" s="291" t="n">
        <v>20</v>
      </c>
      <c r="B234" s="168" t="n"/>
      <c r="C234" s="168" t="n"/>
      <c r="D234" s="205" t="inlineStr">
        <is>
          <t>4月</t>
        </is>
      </c>
      <c r="E234" s="292" t="n"/>
      <c r="F234" s="293" t="n"/>
      <c r="G234" s="294" t="n"/>
      <c r="H234" s="295" t="n"/>
      <c r="I234" s="296" t="n"/>
      <c r="J234" s="297">
        <f>G234+H234+I234</f>
        <v/>
      </c>
      <c r="K234" s="297">
        <f>J234/E234</f>
        <v/>
      </c>
      <c r="L234" s="297">
        <f>J234/F234</f>
        <v/>
      </c>
      <c r="M234" s="151" t="n"/>
    </row>
    <row r="235" ht="15" customHeight="1" s="272">
      <c r="A235" s="287" t="n"/>
      <c r="B235" s="298" t="n"/>
      <c r="C235" s="298" t="n"/>
      <c r="D235" s="208" t="inlineStr">
        <is>
          <t>5月</t>
        </is>
      </c>
      <c r="E235" s="299" t="n"/>
      <c r="F235" s="300" t="n"/>
      <c r="G235" s="301" t="n"/>
      <c r="H235" s="302" t="n"/>
      <c r="I235" s="303" t="n"/>
      <c r="J235" s="304">
        <f>G235+H235+I235</f>
        <v/>
      </c>
      <c r="K235" s="304">
        <f>J235/E235</f>
        <v/>
      </c>
      <c r="L235" s="304">
        <f>J235/F235</f>
        <v/>
      </c>
      <c r="M235" s="158" t="n"/>
    </row>
    <row r="236" ht="15" customHeight="1" s="272">
      <c r="A236" s="287" t="n"/>
      <c r="B236" s="298" t="n"/>
      <c r="C236" s="298" t="n"/>
      <c r="D236" s="208" t="inlineStr">
        <is>
          <t>6月</t>
        </is>
      </c>
      <c r="E236" s="299" t="n"/>
      <c r="F236" s="300" t="n"/>
      <c r="G236" s="301" t="n"/>
      <c r="H236" s="302" t="n"/>
      <c r="I236" s="303" t="n"/>
      <c r="J236" s="304">
        <f>G236+H236+I236</f>
        <v/>
      </c>
      <c r="K236" s="304">
        <f>J236/E236</f>
        <v/>
      </c>
      <c r="L236" s="304">
        <f>J236/F236</f>
        <v/>
      </c>
      <c r="M236" s="158" t="n"/>
    </row>
    <row r="237" ht="15" customHeight="1" s="272">
      <c r="A237" s="287" t="n"/>
      <c r="B237" s="298" t="n"/>
      <c r="C237" s="298" t="n"/>
      <c r="D237" s="208" t="inlineStr">
        <is>
          <t>7月</t>
        </is>
      </c>
      <c r="E237" s="299" t="n"/>
      <c r="F237" s="300" t="n"/>
      <c r="G237" s="301" t="n"/>
      <c r="H237" s="302" t="n"/>
      <c r="I237" s="303" t="n"/>
      <c r="J237" s="304">
        <f>G237+H237+I237</f>
        <v/>
      </c>
      <c r="K237" s="304">
        <f>J237/E237</f>
        <v/>
      </c>
      <c r="L237" s="304">
        <f>J237/F237</f>
        <v/>
      </c>
      <c r="M237" s="158" t="n"/>
    </row>
    <row r="238" ht="15" customHeight="1" s="272">
      <c r="A238" s="287" t="n"/>
      <c r="B238" s="298" t="n"/>
      <c r="C238" s="298" t="n"/>
      <c r="D238" s="208" t="inlineStr">
        <is>
          <t>8月</t>
        </is>
      </c>
      <c r="E238" s="299" t="n"/>
      <c r="F238" s="300" t="n"/>
      <c r="G238" s="301" t="n"/>
      <c r="H238" s="302" t="n"/>
      <c r="I238" s="303" t="n"/>
      <c r="J238" s="304">
        <f>G238+H238+I238</f>
        <v/>
      </c>
      <c r="K238" s="304">
        <f>J238/E238</f>
        <v/>
      </c>
      <c r="L238" s="304">
        <f>J238/F238</f>
        <v/>
      </c>
      <c r="M238" s="158" t="n"/>
    </row>
    <row r="239" ht="15" customHeight="1" s="272">
      <c r="A239" s="287" t="n"/>
      <c r="B239" s="298" t="n"/>
      <c r="C239" s="298" t="n"/>
      <c r="D239" s="208" t="inlineStr">
        <is>
          <t>9月</t>
        </is>
      </c>
      <c r="E239" s="299" t="n"/>
      <c r="F239" s="300" t="n"/>
      <c r="G239" s="301" t="n"/>
      <c r="H239" s="302" t="n"/>
      <c r="I239" s="303" t="n"/>
      <c r="J239" s="304">
        <f>G239+H239+I239</f>
        <v/>
      </c>
      <c r="K239" s="304">
        <f>J239/E239</f>
        <v/>
      </c>
      <c r="L239" s="304">
        <f>J239/F239</f>
        <v/>
      </c>
      <c r="M239" s="158" t="n"/>
    </row>
    <row r="240" ht="15" customHeight="1" s="272">
      <c r="A240" s="287" t="n"/>
      <c r="B240" s="298" t="n"/>
      <c r="C240" s="298" t="n"/>
      <c r="D240" s="208" t="inlineStr">
        <is>
          <t>10月</t>
        </is>
      </c>
      <c r="E240" s="299" t="n"/>
      <c r="F240" s="300" t="n"/>
      <c r="G240" s="301" t="n"/>
      <c r="H240" s="302" t="n"/>
      <c r="I240" s="303" t="n"/>
      <c r="J240" s="304">
        <f>G240+H240+I240</f>
        <v/>
      </c>
      <c r="K240" s="304">
        <f>J240/E240</f>
        <v/>
      </c>
      <c r="L240" s="304">
        <f>J240/F240</f>
        <v/>
      </c>
      <c r="M240" s="158" t="n"/>
    </row>
    <row r="241" ht="15" customHeight="1" s="272">
      <c r="A241" s="287" t="n"/>
      <c r="B241" s="298" t="n"/>
      <c r="C241" s="298" t="n"/>
      <c r="D241" s="208" t="inlineStr">
        <is>
          <t>11月</t>
        </is>
      </c>
      <c r="E241" s="299" t="n"/>
      <c r="F241" s="300" t="n"/>
      <c r="G241" s="301" t="n"/>
      <c r="H241" s="302" t="n"/>
      <c r="I241" s="303" t="n"/>
      <c r="J241" s="304">
        <f>G241+H241+I241</f>
        <v/>
      </c>
      <c r="K241" s="304">
        <f>J241/E241</f>
        <v/>
      </c>
      <c r="L241" s="304">
        <f>J241/F241</f>
        <v/>
      </c>
      <c r="M241" s="158" t="n"/>
    </row>
    <row r="242" ht="15" customHeight="1" s="272">
      <c r="A242" s="287" t="n"/>
      <c r="B242" s="298" t="n"/>
      <c r="C242" s="298" t="n"/>
      <c r="D242" s="208" t="inlineStr">
        <is>
          <t>12月</t>
        </is>
      </c>
      <c r="E242" s="299" t="n"/>
      <c r="F242" s="300" t="n"/>
      <c r="G242" s="301" t="n"/>
      <c r="H242" s="302" t="n"/>
      <c r="I242" s="303" t="n"/>
      <c r="J242" s="304">
        <f>G242+H242+I242</f>
        <v/>
      </c>
      <c r="K242" s="304">
        <f>J242/E242</f>
        <v/>
      </c>
      <c r="L242" s="304">
        <f>J242/F242</f>
        <v/>
      </c>
      <c r="M242" s="158" t="n"/>
    </row>
    <row r="243" ht="15" customHeight="1" s="272">
      <c r="A243" s="287" t="n"/>
      <c r="B243" s="298" t="n"/>
      <c r="C243" s="298" t="n"/>
      <c r="D243" s="208" t="inlineStr">
        <is>
          <t>1月</t>
        </is>
      </c>
      <c r="E243" s="299" t="n"/>
      <c r="F243" s="300" t="n"/>
      <c r="G243" s="301" t="n"/>
      <c r="H243" s="302" t="n"/>
      <c r="I243" s="303" t="n"/>
      <c r="J243" s="304">
        <f>G243+H243+I243</f>
        <v/>
      </c>
      <c r="K243" s="304">
        <f>J243/E243</f>
        <v/>
      </c>
      <c r="L243" s="304">
        <f>J243/F243</f>
        <v/>
      </c>
      <c r="M243" s="158" t="n"/>
    </row>
    <row r="244" ht="15" customHeight="1" s="272">
      <c r="A244" s="287" t="n"/>
      <c r="B244" s="298" t="n"/>
      <c r="C244" s="298" t="n"/>
      <c r="D244" s="208" t="inlineStr">
        <is>
          <t>2月</t>
        </is>
      </c>
      <c r="E244" s="299" t="n"/>
      <c r="F244" s="300" t="n"/>
      <c r="G244" s="301" t="n"/>
      <c r="H244" s="302" t="n"/>
      <c r="I244" s="303" t="n"/>
      <c r="J244" s="304">
        <f>G244+H244+I244</f>
        <v/>
      </c>
      <c r="K244" s="304">
        <f>J244/E244</f>
        <v/>
      </c>
      <c r="L244" s="304">
        <f>J244/F244</f>
        <v/>
      </c>
      <c r="M244" s="158" t="n"/>
    </row>
    <row r="245" ht="15" customHeight="1" s="272">
      <c r="A245" s="290" t="n"/>
      <c r="B245" s="305" t="n"/>
      <c r="C245" s="305" t="n"/>
      <c r="D245" s="211" t="inlineStr">
        <is>
          <t>3月</t>
        </is>
      </c>
      <c r="E245" s="306" t="n"/>
      <c r="F245" s="307" t="n"/>
      <c r="G245" s="308" t="n"/>
      <c r="H245" s="309" t="n"/>
      <c r="I245" s="310" t="n"/>
      <c r="J245" s="311">
        <f>G245+H245+I245</f>
        <v/>
      </c>
      <c r="K245" s="311">
        <f>J245/E245</f>
        <v/>
      </c>
      <c r="L245" s="311">
        <f>J245/F245</f>
        <v/>
      </c>
      <c r="M245" s="165" t="n"/>
    </row>
    <row r="246" ht="15" customHeight="1" s="272">
      <c r="A246" s="291" t="n">
        <v>21</v>
      </c>
      <c r="B246" s="168" t="n"/>
      <c r="C246" s="168" t="n"/>
      <c r="D246" s="205" t="inlineStr">
        <is>
          <t>4月</t>
        </is>
      </c>
      <c r="E246" s="292" t="n"/>
      <c r="F246" s="293" t="n"/>
      <c r="G246" s="294" t="n"/>
      <c r="H246" s="295" t="n"/>
      <c r="I246" s="296" t="n"/>
      <c r="J246" s="297">
        <f>G246+H246+I246</f>
        <v/>
      </c>
      <c r="K246" s="297">
        <f>J246/E246</f>
        <v/>
      </c>
      <c r="L246" s="297">
        <f>J246/F246</f>
        <v/>
      </c>
      <c r="M246" s="151" t="n"/>
    </row>
    <row r="247" ht="15" customHeight="1" s="272">
      <c r="A247" s="287" t="n"/>
      <c r="B247" s="298" t="n"/>
      <c r="C247" s="298" t="n"/>
      <c r="D247" s="208" t="inlineStr">
        <is>
          <t>5月</t>
        </is>
      </c>
      <c r="E247" s="299" t="n"/>
      <c r="F247" s="300" t="n"/>
      <c r="G247" s="301" t="n"/>
      <c r="H247" s="302" t="n"/>
      <c r="I247" s="303" t="n"/>
      <c r="J247" s="304">
        <f>G247+H247+I247</f>
        <v/>
      </c>
      <c r="K247" s="304">
        <f>J247/E247</f>
        <v/>
      </c>
      <c r="L247" s="304">
        <f>J247/F247</f>
        <v/>
      </c>
      <c r="M247" s="158" t="n"/>
    </row>
    <row r="248" ht="15" customHeight="1" s="272">
      <c r="A248" s="287" t="n"/>
      <c r="B248" s="298" t="n"/>
      <c r="C248" s="298" t="n"/>
      <c r="D248" s="208" t="inlineStr">
        <is>
          <t>6月</t>
        </is>
      </c>
      <c r="E248" s="299" t="n"/>
      <c r="F248" s="300" t="n"/>
      <c r="G248" s="301" t="n"/>
      <c r="H248" s="302" t="n"/>
      <c r="I248" s="303" t="n"/>
      <c r="J248" s="304">
        <f>G248+H248+I248</f>
        <v/>
      </c>
      <c r="K248" s="304">
        <f>J248/E248</f>
        <v/>
      </c>
      <c r="L248" s="304">
        <f>J248/F248</f>
        <v/>
      </c>
      <c r="M248" s="158" t="n"/>
    </row>
    <row r="249" ht="15" customHeight="1" s="272">
      <c r="A249" s="287" t="n"/>
      <c r="B249" s="298" t="n"/>
      <c r="C249" s="298" t="n"/>
      <c r="D249" s="208" t="inlineStr">
        <is>
          <t>7月</t>
        </is>
      </c>
      <c r="E249" s="299" t="n"/>
      <c r="F249" s="300" t="n"/>
      <c r="G249" s="301" t="n"/>
      <c r="H249" s="302" t="n"/>
      <c r="I249" s="303" t="n"/>
      <c r="J249" s="304">
        <f>G249+H249+I249</f>
        <v/>
      </c>
      <c r="K249" s="304">
        <f>J249/E249</f>
        <v/>
      </c>
      <c r="L249" s="304">
        <f>J249/F249</f>
        <v/>
      </c>
      <c r="M249" s="158" t="n"/>
    </row>
    <row r="250" ht="15" customHeight="1" s="272">
      <c r="A250" s="287" t="n"/>
      <c r="B250" s="298" t="n"/>
      <c r="C250" s="298" t="n"/>
      <c r="D250" s="208" t="inlineStr">
        <is>
          <t>8月</t>
        </is>
      </c>
      <c r="E250" s="299" t="n"/>
      <c r="F250" s="300" t="n"/>
      <c r="G250" s="301" t="n"/>
      <c r="H250" s="302" t="n"/>
      <c r="I250" s="303" t="n"/>
      <c r="J250" s="304">
        <f>G250+H250+I250</f>
        <v/>
      </c>
      <c r="K250" s="304">
        <f>J250/E250</f>
        <v/>
      </c>
      <c r="L250" s="304">
        <f>J250/F250</f>
        <v/>
      </c>
      <c r="M250" s="158" t="n"/>
    </row>
    <row r="251" ht="15" customHeight="1" s="272">
      <c r="A251" s="287" t="n"/>
      <c r="B251" s="298" t="n"/>
      <c r="C251" s="298" t="n"/>
      <c r="D251" s="208" t="inlineStr">
        <is>
          <t>9月</t>
        </is>
      </c>
      <c r="E251" s="299" t="n"/>
      <c r="F251" s="300" t="n"/>
      <c r="G251" s="301" t="n"/>
      <c r="H251" s="302" t="n"/>
      <c r="I251" s="303" t="n"/>
      <c r="J251" s="304">
        <f>G251+H251+I251</f>
        <v/>
      </c>
      <c r="K251" s="304">
        <f>J251/E251</f>
        <v/>
      </c>
      <c r="L251" s="304">
        <f>J251/F251</f>
        <v/>
      </c>
      <c r="M251" s="158" t="n"/>
    </row>
    <row r="252" ht="15" customHeight="1" s="272">
      <c r="A252" s="287" t="n"/>
      <c r="B252" s="298" t="n"/>
      <c r="C252" s="298" t="n"/>
      <c r="D252" s="208" t="inlineStr">
        <is>
          <t>10月</t>
        </is>
      </c>
      <c r="E252" s="299" t="n"/>
      <c r="F252" s="300" t="n"/>
      <c r="G252" s="301" t="n"/>
      <c r="H252" s="302" t="n"/>
      <c r="I252" s="303" t="n"/>
      <c r="J252" s="304">
        <f>G252+H252+I252</f>
        <v/>
      </c>
      <c r="K252" s="304">
        <f>J252/E252</f>
        <v/>
      </c>
      <c r="L252" s="304">
        <f>J252/F252</f>
        <v/>
      </c>
      <c r="M252" s="158" t="n"/>
    </row>
    <row r="253" ht="15" customHeight="1" s="272">
      <c r="A253" s="287" t="n"/>
      <c r="B253" s="298" t="n"/>
      <c r="C253" s="298" t="n"/>
      <c r="D253" s="208" t="inlineStr">
        <is>
          <t>11月</t>
        </is>
      </c>
      <c r="E253" s="299" t="n"/>
      <c r="F253" s="300" t="n"/>
      <c r="G253" s="301" t="n"/>
      <c r="H253" s="302" t="n"/>
      <c r="I253" s="303" t="n"/>
      <c r="J253" s="304">
        <f>G253+H253+I253</f>
        <v/>
      </c>
      <c r="K253" s="304">
        <f>J253/E253</f>
        <v/>
      </c>
      <c r="L253" s="304">
        <f>J253/F253</f>
        <v/>
      </c>
      <c r="M253" s="158" t="n"/>
    </row>
    <row r="254" ht="15" customHeight="1" s="272">
      <c r="A254" s="287" t="n"/>
      <c r="B254" s="298" t="n"/>
      <c r="C254" s="298" t="n"/>
      <c r="D254" s="208" t="inlineStr">
        <is>
          <t>12月</t>
        </is>
      </c>
      <c r="E254" s="299" t="n"/>
      <c r="F254" s="300" t="n"/>
      <c r="G254" s="301" t="n"/>
      <c r="H254" s="302" t="n"/>
      <c r="I254" s="303" t="n"/>
      <c r="J254" s="304">
        <f>G254+H254+I254</f>
        <v/>
      </c>
      <c r="K254" s="304">
        <f>J254/E254</f>
        <v/>
      </c>
      <c r="L254" s="304">
        <f>J254/F254</f>
        <v/>
      </c>
      <c r="M254" s="158" t="n"/>
    </row>
    <row r="255" ht="15" customHeight="1" s="272">
      <c r="A255" s="287" t="n"/>
      <c r="B255" s="298" t="n"/>
      <c r="C255" s="298" t="n"/>
      <c r="D255" s="208" t="inlineStr">
        <is>
          <t>1月</t>
        </is>
      </c>
      <c r="E255" s="299" t="n"/>
      <c r="F255" s="300" t="n"/>
      <c r="G255" s="301" t="n"/>
      <c r="H255" s="302" t="n"/>
      <c r="I255" s="303" t="n"/>
      <c r="J255" s="304">
        <f>G255+H255+I255</f>
        <v/>
      </c>
      <c r="K255" s="304">
        <f>J255/E255</f>
        <v/>
      </c>
      <c r="L255" s="304">
        <f>J255/F255</f>
        <v/>
      </c>
      <c r="M255" s="158" t="n"/>
    </row>
    <row r="256" ht="15" customHeight="1" s="272">
      <c r="A256" s="287" t="n"/>
      <c r="B256" s="298" t="n"/>
      <c r="C256" s="298" t="n"/>
      <c r="D256" s="208" t="inlineStr">
        <is>
          <t>2月</t>
        </is>
      </c>
      <c r="E256" s="299" t="n"/>
      <c r="F256" s="300" t="n"/>
      <c r="G256" s="301" t="n"/>
      <c r="H256" s="302" t="n"/>
      <c r="I256" s="303" t="n"/>
      <c r="J256" s="304">
        <f>G256+H256+I256</f>
        <v/>
      </c>
      <c r="K256" s="304">
        <f>J256/E256</f>
        <v/>
      </c>
      <c r="L256" s="304">
        <f>J256/F256</f>
        <v/>
      </c>
      <c r="M256" s="158" t="n"/>
    </row>
    <row r="257" ht="15" customHeight="1" s="272">
      <c r="A257" s="290" t="n"/>
      <c r="B257" s="305" t="n"/>
      <c r="C257" s="305" t="n"/>
      <c r="D257" s="211" t="inlineStr">
        <is>
          <t>3月</t>
        </is>
      </c>
      <c r="E257" s="306" t="n"/>
      <c r="F257" s="307" t="n"/>
      <c r="G257" s="308" t="n"/>
      <c r="H257" s="309" t="n"/>
      <c r="I257" s="310" t="n"/>
      <c r="J257" s="311">
        <f>G257+H257+I257</f>
        <v/>
      </c>
      <c r="K257" s="311">
        <f>J257/E257</f>
        <v/>
      </c>
      <c r="L257" s="311">
        <f>J257/F257</f>
        <v/>
      </c>
      <c r="M257" s="165" t="n"/>
    </row>
    <row r="258" ht="15" customHeight="1" s="272">
      <c r="A258" s="291" t="n">
        <v>22</v>
      </c>
      <c r="B258" s="168" t="n"/>
      <c r="C258" s="168" t="n"/>
      <c r="D258" s="205" t="inlineStr">
        <is>
          <t>4月</t>
        </is>
      </c>
      <c r="E258" s="292" t="n"/>
      <c r="F258" s="293" t="n"/>
      <c r="G258" s="294" t="n"/>
      <c r="H258" s="295" t="n"/>
      <c r="I258" s="296" t="n"/>
      <c r="J258" s="297">
        <f>G258+H258+I258</f>
        <v/>
      </c>
      <c r="K258" s="297">
        <f>J258/E258</f>
        <v/>
      </c>
      <c r="L258" s="297">
        <f>J258/F258</f>
        <v/>
      </c>
      <c r="M258" s="151" t="n"/>
    </row>
    <row r="259" ht="15" customHeight="1" s="272">
      <c r="A259" s="287" t="n"/>
      <c r="B259" s="298" t="n"/>
      <c r="C259" s="298" t="n"/>
      <c r="D259" s="208" t="inlineStr">
        <is>
          <t>5月</t>
        </is>
      </c>
      <c r="E259" s="299" t="n"/>
      <c r="F259" s="300" t="n"/>
      <c r="G259" s="301" t="n"/>
      <c r="H259" s="302" t="n"/>
      <c r="I259" s="303" t="n"/>
      <c r="J259" s="304">
        <f>G259+H259+I259</f>
        <v/>
      </c>
      <c r="K259" s="304">
        <f>J259/E259</f>
        <v/>
      </c>
      <c r="L259" s="304">
        <f>J259/F259</f>
        <v/>
      </c>
      <c r="M259" s="158" t="n"/>
    </row>
    <row r="260" ht="15" customHeight="1" s="272">
      <c r="A260" s="287" t="n"/>
      <c r="B260" s="298" t="n"/>
      <c r="C260" s="298" t="n"/>
      <c r="D260" s="208" t="inlineStr">
        <is>
          <t>6月</t>
        </is>
      </c>
      <c r="E260" s="299" t="n"/>
      <c r="F260" s="300" t="n"/>
      <c r="G260" s="301" t="n"/>
      <c r="H260" s="302" t="n"/>
      <c r="I260" s="303" t="n"/>
      <c r="J260" s="304">
        <f>G260+H260+I260</f>
        <v/>
      </c>
      <c r="K260" s="304">
        <f>J260/E260</f>
        <v/>
      </c>
      <c r="L260" s="304">
        <f>J260/F260</f>
        <v/>
      </c>
      <c r="M260" s="158" t="n"/>
    </row>
    <row r="261" ht="15" customHeight="1" s="272">
      <c r="A261" s="287" t="n"/>
      <c r="B261" s="298" t="n"/>
      <c r="C261" s="298" t="n"/>
      <c r="D261" s="208" t="inlineStr">
        <is>
          <t>7月</t>
        </is>
      </c>
      <c r="E261" s="299" t="n"/>
      <c r="F261" s="300" t="n"/>
      <c r="G261" s="301" t="n"/>
      <c r="H261" s="302" t="n"/>
      <c r="I261" s="303" t="n"/>
      <c r="J261" s="304">
        <f>G261+H261+I261</f>
        <v/>
      </c>
      <c r="K261" s="304">
        <f>J261/E261</f>
        <v/>
      </c>
      <c r="L261" s="304">
        <f>J261/F261</f>
        <v/>
      </c>
      <c r="M261" s="158" t="n"/>
    </row>
    <row r="262" ht="15" customHeight="1" s="272">
      <c r="A262" s="287" t="n"/>
      <c r="B262" s="298" t="n"/>
      <c r="C262" s="298" t="n"/>
      <c r="D262" s="208" t="inlineStr">
        <is>
          <t>8月</t>
        </is>
      </c>
      <c r="E262" s="299" t="n"/>
      <c r="F262" s="300" t="n"/>
      <c r="G262" s="301" t="n"/>
      <c r="H262" s="302" t="n"/>
      <c r="I262" s="303" t="n"/>
      <c r="J262" s="304">
        <f>G262+H262+I262</f>
        <v/>
      </c>
      <c r="K262" s="304">
        <f>J262/E262</f>
        <v/>
      </c>
      <c r="L262" s="304">
        <f>J262/F262</f>
        <v/>
      </c>
      <c r="M262" s="158" t="n"/>
    </row>
    <row r="263" ht="15" customHeight="1" s="272">
      <c r="A263" s="287" t="n"/>
      <c r="B263" s="298" t="n"/>
      <c r="C263" s="298" t="n"/>
      <c r="D263" s="208" t="inlineStr">
        <is>
          <t>9月</t>
        </is>
      </c>
      <c r="E263" s="299" t="n"/>
      <c r="F263" s="300" t="n"/>
      <c r="G263" s="301" t="n"/>
      <c r="H263" s="302" t="n"/>
      <c r="I263" s="303" t="n"/>
      <c r="J263" s="304">
        <f>G263+H263+I263</f>
        <v/>
      </c>
      <c r="K263" s="304">
        <f>J263/E263</f>
        <v/>
      </c>
      <c r="L263" s="304">
        <f>J263/F263</f>
        <v/>
      </c>
      <c r="M263" s="158" t="n"/>
    </row>
    <row r="264" ht="15" customHeight="1" s="272">
      <c r="A264" s="287" t="n"/>
      <c r="B264" s="298" t="n"/>
      <c r="C264" s="298" t="n"/>
      <c r="D264" s="208" t="inlineStr">
        <is>
          <t>10月</t>
        </is>
      </c>
      <c r="E264" s="299" t="n"/>
      <c r="F264" s="300" t="n"/>
      <c r="G264" s="301" t="n"/>
      <c r="H264" s="302" t="n"/>
      <c r="I264" s="303" t="n"/>
      <c r="J264" s="304">
        <f>G264+H264+I264</f>
        <v/>
      </c>
      <c r="K264" s="304">
        <f>J264/E264</f>
        <v/>
      </c>
      <c r="L264" s="304">
        <f>J264/F264</f>
        <v/>
      </c>
      <c r="M264" s="158" t="n"/>
    </row>
    <row r="265" ht="15" customHeight="1" s="272">
      <c r="A265" s="287" t="n"/>
      <c r="B265" s="298" t="n"/>
      <c r="C265" s="298" t="n"/>
      <c r="D265" s="208" t="inlineStr">
        <is>
          <t>11月</t>
        </is>
      </c>
      <c r="E265" s="299" t="n"/>
      <c r="F265" s="300" t="n"/>
      <c r="G265" s="301" t="n"/>
      <c r="H265" s="302" t="n"/>
      <c r="I265" s="303" t="n"/>
      <c r="J265" s="304">
        <f>G265+H265+I265</f>
        <v/>
      </c>
      <c r="K265" s="304">
        <f>J265/E265</f>
        <v/>
      </c>
      <c r="L265" s="304">
        <f>J265/F265</f>
        <v/>
      </c>
      <c r="M265" s="158" t="n"/>
    </row>
    <row r="266" ht="15" customHeight="1" s="272">
      <c r="A266" s="287" t="n"/>
      <c r="B266" s="298" t="n"/>
      <c r="C266" s="298" t="n"/>
      <c r="D266" s="208" t="inlineStr">
        <is>
          <t>12月</t>
        </is>
      </c>
      <c r="E266" s="299" t="n"/>
      <c r="F266" s="300" t="n"/>
      <c r="G266" s="301" t="n"/>
      <c r="H266" s="302" t="n"/>
      <c r="I266" s="303" t="n"/>
      <c r="J266" s="304">
        <f>G266+H266+I266</f>
        <v/>
      </c>
      <c r="K266" s="304">
        <f>J266/E266</f>
        <v/>
      </c>
      <c r="L266" s="304">
        <f>J266/F266</f>
        <v/>
      </c>
      <c r="M266" s="158" t="n"/>
    </row>
    <row r="267" ht="15" customHeight="1" s="272">
      <c r="A267" s="287" t="n"/>
      <c r="B267" s="298" t="n"/>
      <c r="C267" s="298" t="n"/>
      <c r="D267" s="208" t="inlineStr">
        <is>
          <t>1月</t>
        </is>
      </c>
      <c r="E267" s="299" t="n"/>
      <c r="F267" s="300" t="n"/>
      <c r="G267" s="301" t="n"/>
      <c r="H267" s="302" t="n"/>
      <c r="I267" s="303" t="n"/>
      <c r="J267" s="304">
        <f>G267+H267+I267</f>
        <v/>
      </c>
      <c r="K267" s="304">
        <f>J267/E267</f>
        <v/>
      </c>
      <c r="L267" s="304">
        <f>J267/F267</f>
        <v/>
      </c>
      <c r="M267" s="158" t="n"/>
    </row>
    <row r="268" ht="15" customHeight="1" s="272">
      <c r="A268" s="287" t="n"/>
      <c r="B268" s="298" t="n"/>
      <c r="C268" s="298" t="n"/>
      <c r="D268" s="208" t="inlineStr">
        <is>
          <t>2月</t>
        </is>
      </c>
      <c r="E268" s="299" t="n"/>
      <c r="F268" s="300" t="n"/>
      <c r="G268" s="301" t="n"/>
      <c r="H268" s="302" t="n"/>
      <c r="I268" s="303" t="n"/>
      <c r="J268" s="304">
        <f>G268+H268+I268</f>
        <v/>
      </c>
      <c r="K268" s="304">
        <f>J268/E268</f>
        <v/>
      </c>
      <c r="L268" s="304">
        <f>J268/F268</f>
        <v/>
      </c>
      <c r="M268" s="158" t="n"/>
    </row>
    <row r="269" ht="15" customHeight="1" s="272">
      <c r="A269" s="290" t="n"/>
      <c r="B269" s="305" t="n"/>
      <c r="C269" s="305" t="n"/>
      <c r="D269" s="211" t="inlineStr">
        <is>
          <t>3月</t>
        </is>
      </c>
      <c r="E269" s="306" t="n"/>
      <c r="F269" s="307" t="n"/>
      <c r="G269" s="308" t="n"/>
      <c r="H269" s="309" t="n"/>
      <c r="I269" s="310" t="n"/>
      <c r="J269" s="311">
        <f>G269+H269+I269</f>
        <v/>
      </c>
      <c r="K269" s="311">
        <f>J269/E269</f>
        <v/>
      </c>
      <c r="L269" s="311">
        <f>J269/F269</f>
        <v/>
      </c>
      <c r="M269" s="165" t="n"/>
    </row>
    <row r="270" ht="15" customHeight="1" s="272">
      <c r="A270" s="291" t="n">
        <v>23</v>
      </c>
      <c r="B270" s="168" t="n"/>
      <c r="C270" s="168" t="n"/>
      <c r="D270" s="205" t="inlineStr">
        <is>
          <t>4月</t>
        </is>
      </c>
      <c r="E270" s="292" t="n"/>
      <c r="F270" s="293" t="n"/>
      <c r="G270" s="294" t="n"/>
      <c r="H270" s="295" t="n"/>
      <c r="I270" s="296" t="n"/>
      <c r="J270" s="297">
        <f>G270+H270+I270</f>
        <v/>
      </c>
      <c r="K270" s="297">
        <f>J270/E270</f>
        <v/>
      </c>
      <c r="L270" s="297">
        <f>J270/F270</f>
        <v/>
      </c>
      <c r="M270" s="151" t="n"/>
    </row>
    <row r="271" ht="15" customHeight="1" s="272">
      <c r="A271" s="287" t="n"/>
      <c r="B271" s="298" t="n"/>
      <c r="C271" s="298" t="n"/>
      <c r="D271" s="208" t="inlineStr">
        <is>
          <t>5月</t>
        </is>
      </c>
      <c r="E271" s="299" t="n"/>
      <c r="F271" s="300" t="n"/>
      <c r="G271" s="301" t="n"/>
      <c r="H271" s="302" t="n"/>
      <c r="I271" s="303" t="n"/>
      <c r="J271" s="304">
        <f>G271+H271+I271</f>
        <v/>
      </c>
      <c r="K271" s="304">
        <f>J271/E271</f>
        <v/>
      </c>
      <c r="L271" s="304">
        <f>J271/F271</f>
        <v/>
      </c>
      <c r="M271" s="158" t="n"/>
    </row>
    <row r="272" ht="15" customHeight="1" s="272">
      <c r="A272" s="287" t="n"/>
      <c r="B272" s="298" t="n"/>
      <c r="C272" s="298" t="n"/>
      <c r="D272" s="208" t="inlineStr">
        <is>
          <t>6月</t>
        </is>
      </c>
      <c r="E272" s="299" t="n"/>
      <c r="F272" s="300" t="n"/>
      <c r="G272" s="301" t="n"/>
      <c r="H272" s="302" t="n"/>
      <c r="I272" s="303" t="n"/>
      <c r="J272" s="304">
        <f>G272+H272+I272</f>
        <v/>
      </c>
      <c r="K272" s="304">
        <f>J272/E272</f>
        <v/>
      </c>
      <c r="L272" s="304">
        <f>J272/F272</f>
        <v/>
      </c>
      <c r="M272" s="158" t="n"/>
    </row>
    <row r="273" ht="15" customHeight="1" s="272">
      <c r="A273" s="287" t="n"/>
      <c r="B273" s="298" t="n"/>
      <c r="C273" s="298" t="n"/>
      <c r="D273" s="208" t="inlineStr">
        <is>
          <t>7月</t>
        </is>
      </c>
      <c r="E273" s="299" t="n"/>
      <c r="F273" s="300" t="n"/>
      <c r="G273" s="301" t="n"/>
      <c r="H273" s="302" t="n"/>
      <c r="I273" s="303" t="n"/>
      <c r="J273" s="304">
        <f>G273+H273+I273</f>
        <v/>
      </c>
      <c r="K273" s="304">
        <f>J273/E273</f>
        <v/>
      </c>
      <c r="L273" s="304">
        <f>J273/F273</f>
        <v/>
      </c>
      <c r="M273" s="158" t="n"/>
    </row>
    <row r="274" ht="15" customHeight="1" s="272">
      <c r="A274" s="287" t="n"/>
      <c r="B274" s="298" t="n"/>
      <c r="C274" s="298" t="n"/>
      <c r="D274" s="208" t="inlineStr">
        <is>
          <t>8月</t>
        </is>
      </c>
      <c r="E274" s="299" t="n"/>
      <c r="F274" s="300" t="n"/>
      <c r="G274" s="301" t="n"/>
      <c r="H274" s="302" t="n"/>
      <c r="I274" s="303" t="n"/>
      <c r="J274" s="304">
        <f>G274+H274+I274</f>
        <v/>
      </c>
      <c r="K274" s="304">
        <f>J274/E274</f>
        <v/>
      </c>
      <c r="L274" s="304">
        <f>J274/F274</f>
        <v/>
      </c>
      <c r="M274" s="158" t="n"/>
    </row>
    <row r="275" ht="15" customHeight="1" s="272">
      <c r="A275" s="287" t="n"/>
      <c r="B275" s="298" t="n"/>
      <c r="C275" s="298" t="n"/>
      <c r="D275" s="208" t="inlineStr">
        <is>
          <t>9月</t>
        </is>
      </c>
      <c r="E275" s="299" t="n"/>
      <c r="F275" s="300" t="n"/>
      <c r="G275" s="301" t="n"/>
      <c r="H275" s="302" t="n"/>
      <c r="I275" s="303" t="n"/>
      <c r="J275" s="304">
        <f>G275+H275+I275</f>
        <v/>
      </c>
      <c r="K275" s="304">
        <f>J275/E275</f>
        <v/>
      </c>
      <c r="L275" s="304">
        <f>J275/F275</f>
        <v/>
      </c>
      <c r="M275" s="158" t="n"/>
    </row>
    <row r="276" ht="15" customHeight="1" s="272">
      <c r="A276" s="287" t="n"/>
      <c r="B276" s="298" t="n"/>
      <c r="C276" s="298" t="n"/>
      <c r="D276" s="208" t="inlineStr">
        <is>
          <t>10月</t>
        </is>
      </c>
      <c r="E276" s="299" t="n"/>
      <c r="F276" s="300" t="n"/>
      <c r="G276" s="301" t="n"/>
      <c r="H276" s="302" t="n"/>
      <c r="I276" s="303" t="n"/>
      <c r="J276" s="304">
        <f>G276+H276+I276</f>
        <v/>
      </c>
      <c r="K276" s="304">
        <f>J276/E276</f>
        <v/>
      </c>
      <c r="L276" s="304">
        <f>J276/F276</f>
        <v/>
      </c>
      <c r="M276" s="158" t="n"/>
    </row>
    <row r="277" ht="15" customHeight="1" s="272">
      <c r="A277" s="287" t="n"/>
      <c r="B277" s="298" t="n"/>
      <c r="C277" s="298" t="n"/>
      <c r="D277" s="208" t="inlineStr">
        <is>
          <t>11月</t>
        </is>
      </c>
      <c r="E277" s="299" t="n"/>
      <c r="F277" s="300" t="n"/>
      <c r="G277" s="301" t="n"/>
      <c r="H277" s="302" t="n"/>
      <c r="I277" s="303" t="n"/>
      <c r="J277" s="304">
        <f>G277+H277+I277</f>
        <v/>
      </c>
      <c r="K277" s="304">
        <f>J277/E277</f>
        <v/>
      </c>
      <c r="L277" s="304">
        <f>J277/F277</f>
        <v/>
      </c>
      <c r="M277" s="158" t="n"/>
    </row>
    <row r="278" ht="15" customHeight="1" s="272">
      <c r="A278" s="287" t="n"/>
      <c r="B278" s="298" t="n"/>
      <c r="C278" s="298" t="n"/>
      <c r="D278" s="208" t="inlineStr">
        <is>
          <t>12月</t>
        </is>
      </c>
      <c r="E278" s="299" t="n"/>
      <c r="F278" s="300" t="n"/>
      <c r="G278" s="301" t="n"/>
      <c r="H278" s="302" t="n"/>
      <c r="I278" s="303" t="n"/>
      <c r="J278" s="304">
        <f>G278+H278+I278</f>
        <v/>
      </c>
      <c r="K278" s="304">
        <f>J278/E278</f>
        <v/>
      </c>
      <c r="L278" s="304">
        <f>J278/F278</f>
        <v/>
      </c>
      <c r="M278" s="158" t="n"/>
    </row>
    <row r="279" ht="15" customHeight="1" s="272">
      <c r="A279" s="287" t="n"/>
      <c r="B279" s="298" t="n"/>
      <c r="C279" s="298" t="n"/>
      <c r="D279" s="208" t="inlineStr">
        <is>
          <t>1月</t>
        </is>
      </c>
      <c r="E279" s="299" t="n"/>
      <c r="F279" s="300" t="n"/>
      <c r="G279" s="301" t="n"/>
      <c r="H279" s="302" t="n"/>
      <c r="I279" s="303" t="n"/>
      <c r="J279" s="304">
        <f>G279+H279+I279</f>
        <v/>
      </c>
      <c r="K279" s="304">
        <f>J279/E279</f>
        <v/>
      </c>
      <c r="L279" s="304">
        <f>J279/F279</f>
        <v/>
      </c>
      <c r="M279" s="158" t="n"/>
    </row>
    <row r="280" ht="15" customHeight="1" s="272">
      <c r="A280" s="287" t="n"/>
      <c r="B280" s="298" t="n"/>
      <c r="C280" s="298" t="n"/>
      <c r="D280" s="208" t="inlineStr">
        <is>
          <t>2月</t>
        </is>
      </c>
      <c r="E280" s="299" t="n"/>
      <c r="F280" s="300" t="n"/>
      <c r="G280" s="301" t="n"/>
      <c r="H280" s="302" t="n"/>
      <c r="I280" s="303" t="n"/>
      <c r="J280" s="304">
        <f>G280+H280+I280</f>
        <v/>
      </c>
      <c r="K280" s="304">
        <f>J280/E280</f>
        <v/>
      </c>
      <c r="L280" s="304">
        <f>J280/F280</f>
        <v/>
      </c>
      <c r="M280" s="158" t="n"/>
    </row>
    <row r="281" ht="15" customHeight="1" s="272">
      <c r="A281" s="290" t="n"/>
      <c r="B281" s="305" t="n"/>
      <c r="C281" s="305" t="n"/>
      <c r="D281" s="211" t="inlineStr">
        <is>
          <t>3月</t>
        </is>
      </c>
      <c r="E281" s="306" t="n"/>
      <c r="F281" s="307" t="n"/>
      <c r="G281" s="308" t="n"/>
      <c r="H281" s="309" t="n"/>
      <c r="I281" s="310" t="n"/>
      <c r="J281" s="311">
        <f>G281+H281+I281</f>
        <v/>
      </c>
      <c r="K281" s="311">
        <f>J281/E281</f>
        <v/>
      </c>
      <c r="L281" s="311">
        <f>J281/F281</f>
        <v/>
      </c>
      <c r="M281" s="165" t="n"/>
    </row>
    <row r="282" ht="15" customHeight="1" s="272">
      <c r="A282" s="291" t="n">
        <v>24</v>
      </c>
      <c r="B282" s="168" t="n"/>
      <c r="C282" s="168" t="n"/>
      <c r="D282" s="205" t="inlineStr">
        <is>
          <t>4月</t>
        </is>
      </c>
      <c r="E282" s="292" t="n"/>
      <c r="F282" s="293" t="n"/>
      <c r="G282" s="294" t="n"/>
      <c r="H282" s="295" t="n"/>
      <c r="I282" s="296" t="n"/>
      <c r="J282" s="297">
        <f>G282+H282+I282</f>
        <v/>
      </c>
      <c r="K282" s="297">
        <f>J282/E282</f>
        <v/>
      </c>
      <c r="L282" s="297">
        <f>J282/F282</f>
        <v/>
      </c>
      <c r="M282" s="151" t="n"/>
    </row>
    <row r="283" ht="15" customHeight="1" s="272">
      <c r="A283" s="287" t="n"/>
      <c r="B283" s="298" t="n"/>
      <c r="C283" s="298" t="n"/>
      <c r="D283" s="208" t="inlineStr">
        <is>
          <t>5月</t>
        </is>
      </c>
      <c r="E283" s="299" t="n"/>
      <c r="F283" s="300" t="n"/>
      <c r="G283" s="301" t="n"/>
      <c r="H283" s="302" t="n"/>
      <c r="I283" s="303" t="n"/>
      <c r="J283" s="304">
        <f>G283+H283+I283</f>
        <v/>
      </c>
      <c r="K283" s="304">
        <f>J283/E283</f>
        <v/>
      </c>
      <c r="L283" s="304">
        <f>J283/F283</f>
        <v/>
      </c>
      <c r="M283" s="158" t="n"/>
    </row>
    <row r="284" ht="15" customHeight="1" s="272">
      <c r="A284" s="287" t="n"/>
      <c r="B284" s="298" t="n"/>
      <c r="C284" s="298" t="n"/>
      <c r="D284" s="208" t="inlineStr">
        <is>
          <t>6月</t>
        </is>
      </c>
      <c r="E284" s="299" t="n"/>
      <c r="F284" s="300" t="n"/>
      <c r="G284" s="301" t="n"/>
      <c r="H284" s="302" t="n"/>
      <c r="I284" s="303" t="n"/>
      <c r="J284" s="304">
        <f>G284+H284+I284</f>
        <v/>
      </c>
      <c r="K284" s="304">
        <f>J284/E284</f>
        <v/>
      </c>
      <c r="L284" s="304">
        <f>J284/F284</f>
        <v/>
      </c>
      <c r="M284" s="158" t="n"/>
    </row>
    <row r="285" ht="15" customHeight="1" s="272">
      <c r="A285" s="287" t="n"/>
      <c r="B285" s="298" t="n"/>
      <c r="C285" s="298" t="n"/>
      <c r="D285" s="208" t="inlineStr">
        <is>
          <t>7月</t>
        </is>
      </c>
      <c r="E285" s="299" t="n"/>
      <c r="F285" s="300" t="n"/>
      <c r="G285" s="301" t="n"/>
      <c r="H285" s="302" t="n"/>
      <c r="I285" s="303" t="n"/>
      <c r="J285" s="304">
        <f>G285+H285+I285</f>
        <v/>
      </c>
      <c r="K285" s="304">
        <f>J285/E285</f>
        <v/>
      </c>
      <c r="L285" s="304">
        <f>J285/F285</f>
        <v/>
      </c>
      <c r="M285" s="158" t="n"/>
    </row>
    <row r="286" ht="15" customHeight="1" s="272">
      <c r="A286" s="287" t="n"/>
      <c r="B286" s="298" t="n"/>
      <c r="C286" s="298" t="n"/>
      <c r="D286" s="208" t="inlineStr">
        <is>
          <t>8月</t>
        </is>
      </c>
      <c r="E286" s="299" t="n"/>
      <c r="F286" s="300" t="n"/>
      <c r="G286" s="301" t="n"/>
      <c r="H286" s="302" t="n"/>
      <c r="I286" s="303" t="n"/>
      <c r="J286" s="304">
        <f>G286+H286+I286</f>
        <v/>
      </c>
      <c r="K286" s="304">
        <f>J286/E286</f>
        <v/>
      </c>
      <c r="L286" s="304">
        <f>J286/F286</f>
        <v/>
      </c>
      <c r="M286" s="158" t="n"/>
    </row>
    <row r="287" ht="15" customHeight="1" s="272">
      <c r="A287" s="287" t="n"/>
      <c r="B287" s="298" t="n"/>
      <c r="C287" s="298" t="n"/>
      <c r="D287" s="208" t="inlineStr">
        <is>
          <t>9月</t>
        </is>
      </c>
      <c r="E287" s="299" t="n"/>
      <c r="F287" s="300" t="n"/>
      <c r="G287" s="301" t="n"/>
      <c r="H287" s="302" t="n"/>
      <c r="I287" s="303" t="n"/>
      <c r="J287" s="304">
        <f>G287+H287+I287</f>
        <v/>
      </c>
      <c r="K287" s="304">
        <f>J287/E287</f>
        <v/>
      </c>
      <c r="L287" s="304">
        <f>J287/F287</f>
        <v/>
      </c>
      <c r="M287" s="158" t="n"/>
    </row>
    <row r="288" ht="15" customHeight="1" s="272">
      <c r="A288" s="287" t="n"/>
      <c r="B288" s="298" t="n"/>
      <c r="C288" s="298" t="n"/>
      <c r="D288" s="208" t="inlineStr">
        <is>
          <t>10月</t>
        </is>
      </c>
      <c r="E288" s="299" t="n"/>
      <c r="F288" s="300" t="n"/>
      <c r="G288" s="301" t="n"/>
      <c r="H288" s="302" t="n"/>
      <c r="I288" s="303" t="n"/>
      <c r="J288" s="304">
        <f>G288+H288+I288</f>
        <v/>
      </c>
      <c r="K288" s="304">
        <f>J288/E288</f>
        <v/>
      </c>
      <c r="L288" s="304">
        <f>J288/F288</f>
        <v/>
      </c>
      <c r="M288" s="158" t="n"/>
    </row>
    <row r="289" ht="15" customHeight="1" s="272">
      <c r="A289" s="287" t="n"/>
      <c r="B289" s="298" t="n"/>
      <c r="C289" s="298" t="n"/>
      <c r="D289" s="208" t="inlineStr">
        <is>
          <t>11月</t>
        </is>
      </c>
      <c r="E289" s="299" t="n"/>
      <c r="F289" s="300" t="n"/>
      <c r="G289" s="301" t="n"/>
      <c r="H289" s="302" t="n"/>
      <c r="I289" s="303" t="n"/>
      <c r="J289" s="304">
        <f>G289+H289+I289</f>
        <v/>
      </c>
      <c r="K289" s="304">
        <f>J289/E289</f>
        <v/>
      </c>
      <c r="L289" s="304">
        <f>J289/F289</f>
        <v/>
      </c>
      <c r="M289" s="158" t="n"/>
    </row>
    <row r="290" ht="15" customHeight="1" s="272">
      <c r="A290" s="287" t="n"/>
      <c r="B290" s="298" t="n"/>
      <c r="C290" s="298" t="n"/>
      <c r="D290" s="208" t="inlineStr">
        <is>
          <t>12月</t>
        </is>
      </c>
      <c r="E290" s="299" t="n"/>
      <c r="F290" s="300" t="n"/>
      <c r="G290" s="301" t="n"/>
      <c r="H290" s="302" t="n"/>
      <c r="I290" s="303" t="n"/>
      <c r="J290" s="304">
        <f>G290+H290+I290</f>
        <v/>
      </c>
      <c r="K290" s="304">
        <f>J290/E290</f>
        <v/>
      </c>
      <c r="L290" s="304">
        <f>J290/F290</f>
        <v/>
      </c>
      <c r="M290" s="158" t="n"/>
    </row>
    <row r="291" ht="15" customHeight="1" s="272">
      <c r="A291" s="287" t="n"/>
      <c r="B291" s="298" t="n"/>
      <c r="C291" s="298" t="n"/>
      <c r="D291" s="208" t="inlineStr">
        <is>
          <t>1月</t>
        </is>
      </c>
      <c r="E291" s="299" t="n"/>
      <c r="F291" s="300" t="n"/>
      <c r="G291" s="301" t="n"/>
      <c r="H291" s="302" t="n"/>
      <c r="I291" s="303" t="n"/>
      <c r="J291" s="304">
        <f>G291+H291+I291</f>
        <v/>
      </c>
      <c r="K291" s="304">
        <f>J291/E291</f>
        <v/>
      </c>
      <c r="L291" s="304">
        <f>J291/F291</f>
        <v/>
      </c>
      <c r="M291" s="158" t="n"/>
    </row>
    <row r="292" ht="15" customHeight="1" s="272">
      <c r="A292" s="287" t="n"/>
      <c r="B292" s="298" t="n"/>
      <c r="C292" s="298" t="n"/>
      <c r="D292" s="208" t="inlineStr">
        <is>
          <t>2月</t>
        </is>
      </c>
      <c r="E292" s="299" t="n"/>
      <c r="F292" s="300" t="n"/>
      <c r="G292" s="301" t="n"/>
      <c r="H292" s="302" t="n"/>
      <c r="I292" s="303" t="n"/>
      <c r="J292" s="304">
        <f>G292+H292+I292</f>
        <v/>
      </c>
      <c r="K292" s="304">
        <f>J292/E292</f>
        <v/>
      </c>
      <c r="L292" s="304">
        <f>J292/F292</f>
        <v/>
      </c>
      <c r="M292" s="158" t="n"/>
    </row>
    <row r="293" ht="15" customHeight="1" s="272">
      <c r="A293" s="290" t="n"/>
      <c r="B293" s="305" t="n"/>
      <c r="C293" s="305" t="n"/>
      <c r="D293" s="211" t="inlineStr">
        <is>
          <t>3月</t>
        </is>
      </c>
      <c r="E293" s="306" t="n"/>
      <c r="F293" s="307" t="n"/>
      <c r="G293" s="308" t="n"/>
      <c r="H293" s="309" t="n"/>
      <c r="I293" s="310" t="n"/>
      <c r="J293" s="312">
        <f>G293+H293+I293</f>
        <v/>
      </c>
      <c r="K293" s="312">
        <f>J293/E293</f>
        <v/>
      </c>
      <c r="L293" s="312">
        <f>J293/F293</f>
        <v/>
      </c>
      <c r="M293" s="165" t="n"/>
    </row>
    <row r="294" ht="15" customHeight="1" s="272">
      <c r="A294" s="291" t="n">
        <v>25</v>
      </c>
      <c r="B294" s="168" t="n"/>
      <c r="C294" s="168" t="n"/>
      <c r="D294" s="205" t="inlineStr">
        <is>
          <t>4月</t>
        </is>
      </c>
      <c r="E294" s="292" t="n"/>
      <c r="F294" s="293" t="n"/>
      <c r="G294" s="294" t="n"/>
      <c r="H294" s="295" t="n"/>
      <c r="I294" s="296" t="n"/>
      <c r="J294" s="297">
        <f>G294+H294+I294</f>
        <v/>
      </c>
      <c r="K294" s="297">
        <f>J294/E294</f>
        <v/>
      </c>
      <c r="L294" s="297">
        <f>J294/F294</f>
        <v/>
      </c>
      <c r="M294" s="151" t="n"/>
    </row>
    <row r="295" ht="15" customHeight="1" s="272">
      <c r="A295" s="287" t="n"/>
      <c r="B295" s="298" t="n"/>
      <c r="C295" s="298" t="n"/>
      <c r="D295" s="208" t="inlineStr">
        <is>
          <t>5月</t>
        </is>
      </c>
      <c r="E295" s="299" t="n"/>
      <c r="F295" s="300" t="n"/>
      <c r="G295" s="301" t="n"/>
      <c r="H295" s="302" t="n"/>
      <c r="I295" s="303" t="n"/>
      <c r="J295" s="304">
        <f>G295+H295+I295</f>
        <v/>
      </c>
      <c r="K295" s="304">
        <f>J295/E295</f>
        <v/>
      </c>
      <c r="L295" s="304">
        <f>J295/F295</f>
        <v/>
      </c>
      <c r="M295" s="158" t="n"/>
    </row>
    <row r="296" ht="15" customHeight="1" s="272">
      <c r="A296" s="287" t="n"/>
      <c r="B296" s="298" t="n"/>
      <c r="C296" s="298" t="n"/>
      <c r="D296" s="208" t="inlineStr">
        <is>
          <t>6月</t>
        </is>
      </c>
      <c r="E296" s="299" t="n"/>
      <c r="F296" s="300" t="n"/>
      <c r="G296" s="301" t="n"/>
      <c r="H296" s="302" t="n"/>
      <c r="I296" s="303" t="n"/>
      <c r="J296" s="304">
        <f>G296+H296+I296</f>
        <v/>
      </c>
      <c r="K296" s="304">
        <f>J296/E296</f>
        <v/>
      </c>
      <c r="L296" s="304">
        <f>J296/F296</f>
        <v/>
      </c>
      <c r="M296" s="158" t="n"/>
    </row>
    <row r="297" ht="15" customHeight="1" s="272">
      <c r="A297" s="287" t="n"/>
      <c r="B297" s="298" t="n"/>
      <c r="C297" s="298" t="n"/>
      <c r="D297" s="208" t="inlineStr">
        <is>
          <t>7月</t>
        </is>
      </c>
      <c r="E297" s="299" t="n"/>
      <c r="F297" s="300" t="n"/>
      <c r="G297" s="301" t="n"/>
      <c r="H297" s="302" t="n"/>
      <c r="I297" s="303" t="n"/>
      <c r="J297" s="304">
        <f>G297+H297+I297</f>
        <v/>
      </c>
      <c r="K297" s="304">
        <f>J297/E297</f>
        <v/>
      </c>
      <c r="L297" s="304">
        <f>J297/F297</f>
        <v/>
      </c>
      <c r="M297" s="158" t="n"/>
    </row>
    <row r="298" ht="15" customHeight="1" s="272">
      <c r="A298" s="287" t="n"/>
      <c r="B298" s="298" t="n"/>
      <c r="C298" s="298" t="n"/>
      <c r="D298" s="208" t="inlineStr">
        <is>
          <t>8月</t>
        </is>
      </c>
      <c r="E298" s="299" t="n"/>
      <c r="F298" s="300" t="n"/>
      <c r="G298" s="301" t="n"/>
      <c r="H298" s="302" t="n"/>
      <c r="I298" s="303" t="n"/>
      <c r="J298" s="304">
        <f>G298+H298+I298</f>
        <v/>
      </c>
      <c r="K298" s="304">
        <f>J298/E298</f>
        <v/>
      </c>
      <c r="L298" s="304">
        <f>J298/F298</f>
        <v/>
      </c>
      <c r="M298" s="158" t="n"/>
    </row>
    <row r="299" ht="15" customHeight="1" s="272">
      <c r="A299" s="287" t="n"/>
      <c r="B299" s="298" t="n"/>
      <c r="C299" s="298" t="n"/>
      <c r="D299" s="208" t="inlineStr">
        <is>
          <t>9月</t>
        </is>
      </c>
      <c r="E299" s="299" t="n"/>
      <c r="F299" s="300" t="n"/>
      <c r="G299" s="301" t="n"/>
      <c r="H299" s="302" t="n"/>
      <c r="I299" s="303" t="n"/>
      <c r="J299" s="304">
        <f>G299+H299+I299</f>
        <v/>
      </c>
      <c r="K299" s="304">
        <f>J299/E299</f>
        <v/>
      </c>
      <c r="L299" s="304">
        <f>J299/F299</f>
        <v/>
      </c>
      <c r="M299" s="158" t="n"/>
    </row>
    <row r="300" ht="15" customHeight="1" s="272">
      <c r="A300" s="287" t="n"/>
      <c r="B300" s="298" t="n"/>
      <c r="C300" s="298" t="n"/>
      <c r="D300" s="208" t="inlineStr">
        <is>
          <t>10月</t>
        </is>
      </c>
      <c r="E300" s="299" t="n"/>
      <c r="F300" s="300" t="n"/>
      <c r="G300" s="301" t="n"/>
      <c r="H300" s="302" t="n"/>
      <c r="I300" s="303" t="n"/>
      <c r="J300" s="304">
        <f>G300+H300+I300</f>
        <v/>
      </c>
      <c r="K300" s="304">
        <f>J300/E300</f>
        <v/>
      </c>
      <c r="L300" s="304">
        <f>J300/F300</f>
        <v/>
      </c>
      <c r="M300" s="158" t="n"/>
    </row>
    <row r="301" ht="15" customHeight="1" s="272">
      <c r="A301" s="287" t="n"/>
      <c r="B301" s="298" t="n"/>
      <c r="C301" s="298" t="n"/>
      <c r="D301" s="208" t="inlineStr">
        <is>
          <t>11月</t>
        </is>
      </c>
      <c r="E301" s="299" t="n"/>
      <c r="F301" s="300" t="n"/>
      <c r="G301" s="301" t="n"/>
      <c r="H301" s="302" t="n"/>
      <c r="I301" s="303" t="n"/>
      <c r="J301" s="304">
        <f>G301+H301+I301</f>
        <v/>
      </c>
      <c r="K301" s="304">
        <f>J301/E301</f>
        <v/>
      </c>
      <c r="L301" s="304">
        <f>J301/F301</f>
        <v/>
      </c>
      <c r="M301" s="158" t="n"/>
    </row>
    <row r="302" ht="15" customHeight="1" s="272">
      <c r="A302" s="287" t="n"/>
      <c r="B302" s="298" t="n"/>
      <c r="C302" s="298" t="n"/>
      <c r="D302" s="208" t="inlineStr">
        <is>
          <t>12月</t>
        </is>
      </c>
      <c r="E302" s="299" t="n"/>
      <c r="F302" s="300" t="n"/>
      <c r="G302" s="301" t="n"/>
      <c r="H302" s="302" t="n"/>
      <c r="I302" s="303" t="n"/>
      <c r="J302" s="304">
        <f>G302+H302+I302</f>
        <v/>
      </c>
      <c r="K302" s="304">
        <f>J302/E302</f>
        <v/>
      </c>
      <c r="L302" s="304">
        <f>J302/F302</f>
        <v/>
      </c>
      <c r="M302" s="158" t="n"/>
    </row>
    <row r="303" ht="15" customHeight="1" s="272">
      <c r="A303" s="287" t="n"/>
      <c r="B303" s="298" t="n"/>
      <c r="C303" s="298" t="n"/>
      <c r="D303" s="208" t="inlineStr">
        <is>
          <t>1月</t>
        </is>
      </c>
      <c r="E303" s="299" t="n"/>
      <c r="F303" s="300" t="n"/>
      <c r="G303" s="301" t="n"/>
      <c r="H303" s="302" t="n"/>
      <c r="I303" s="303" t="n"/>
      <c r="J303" s="304">
        <f>G303+H303+I303</f>
        <v/>
      </c>
      <c r="K303" s="304">
        <f>J303/E303</f>
        <v/>
      </c>
      <c r="L303" s="304">
        <f>J303/F303</f>
        <v/>
      </c>
      <c r="M303" s="158" t="n"/>
    </row>
    <row r="304" ht="15" customHeight="1" s="272">
      <c r="A304" s="287" t="n"/>
      <c r="B304" s="298" t="n"/>
      <c r="C304" s="298" t="n"/>
      <c r="D304" s="208" t="inlineStr">
        <is>
          <t>2月</t>
        </is>
      </c>
      <c r="E304" s="299" t="n"/>
      <c r="F304" s="300" t="n"/>
      <c r="G304" s="301" t="n"/>
      <c r="H304" s="302" t="n"/>
      <c r="I304" s="303" t="n"/>
      <c r="J304" s="304">
        <f>G304+H304+I304</f>
        <v/>
      </c>
      <c r="K304" s="304">
        <f>J304/E304</f>
        <v/>
      </c>
      <c r="L304" s="304">
        <f>J304/F304</f>
        <v/>
      </c>
      <c r="M304" s="158" t="n"/>
    </row>
    <row r="305" ht="15" customHeight="1" s="272">
      <c r="A305" s="290" t="n"/>
      <c r="B305" s="305" t="n"/>
      <c r="C305" s="305" t="n"/>
      <c r="D305" s="211" t="inlineStr">
        <is>
          <t>3月</t>
        </is>
      </c>
      <c r="E305" s="306" t="n"/>
      <c r="F305" s="307" t="n"/>
      <c r="G305" s="308" t="n"/>
      <c r="H305" s="309" t="n"/>
      <c r="I305" s="310" t="n"/>
      <c r="J305" s="311">
        <f>G305+H305+I305</f>
        <v/>
      </c>
      <c r="K305" s="311">
        <f>J305/E305</f>
        <v/>
      </c>
      <c r="L305" s="311">
        <f>J305/F305</f>
        <v/>
      </c>
      <c r="M305" s="165" t="n"/>
    </row>
    <row r="306" ht="15" customHeight="1" s="272">
      <c r="A306" s="291" t="n">
        <v>26</v>
      </c>
      <c r="B306" s="168" t="n"/>
      <c r="C306" s="168" t="n"/>
      <c r="D306" s="205" t="inlineStr">
        <is>
          <t>4月</t>
        </is>
      </c>
      <c r="E306" s="292" t="n"/>
      <c r="F306" s="293" t="n"/>
      <c r="G306" s="294" t="n"/>
      <c r="H306" s="295" t="n"/>
      <c r="I306" s="296" t="n"/>
      <c r="J306" s="297">
        <f>G306+H306+I306</f>
        <v/>
      </c>
      <c r="K306" s="297">
        <f>J306/E306</f>
        <v/>
      </c>
      <c r="L306" s="297">
        <f>J306/F306</f>
        <v/>
      </c>
      <c r="M306" s="151" t="n"/>
    </row>
    <row r="307" ht="15" customHeight="1" s="272">
      <c r="A307" s="287" t="n"/>
      <c r="B307" s="298" t="n"/>
      <c r="C307" s="298" t="n"/>
      <c r="D307" s="208" t="inlineStr">
        <is>
          <t>5月</t>
        </is>
      </c>
      <c r="E307" s="299" t="n"/>
      <c r="F307" s="300" t="n"/>
      <c r="G307" s="301" t="n"/>
      <c r="H307" s="302" t="n"/>
      <c r="I307" s="303" t="n"/>
      <c r="J307" s="304">
        <f>G307+H307+I307</f>
        <v/>
      </c>
      <c r="K307" s="304">
        <f>J307/E307</f>
        <v/>
      </c>
      <c r="L307" s="304">
        <f>J307/F307</f>
        <v/>
      </c>
      <c r="M307" s="158" t="n"/>
    </row>
    <row r="308" ht="15" customHeight="1" s="272">
      <c r="A308" s="287" t="n"/>
      <c r="B308" s="298" t="n"/>
      <c r="C308" s="298" t="n"/>
      <c r="D308" s="208" t="inlineStr">
        <is>
          <t>6月</t>
        </is>
      </c>
      <c r="E308" s="299" t="n"/>
      <c r="F308" s="300" t="n"/>
      <c r="G308" s="301" t="n"/>
      <c r="H308" s="302" t="n"/>
      <c r="I308" s="303" t="n"/>
      <c r="J308" s="304">
        <f>G308+H308+I308</f>
        <v/>
      </c>
      <c r="K308" s="304">
        <f>J308/E308</f>
        <v/>
      </c>
      <c r="L308" s="304">
        <f>J308/F308</f>
        <v/>
      </c>
      <c r="M308" s="158" t="n"/>
    </row>
    <row r="309" ht="15" customHeight="1" s="272">
      <c r="A309" s="287" t="n"/>
      <c r="B309" s="298" t="n"/>
      <c r="C309" s="298" t="n"/>
      <c r="D309" s="208" t="inlineStr">
        <is>
          <t>7月</t>
        </is>
      </c>
      <c r="E309" s="299" t="n"/>
      <c r="F309" s="300" t="n"/>
      <c r="G309" s="301" t="n"/>
      <c r="H309" s="302" t="n"/>
      <c r="I309" s="303" t="n"/>
      <c r="J309" s="304">
        <f>G309+H309+I309</f>
        <v/>
      </c>
      <c r="K309" s="304">
        <f>J309/E309</f>
        <v/>
      </c>
      <c r="L309" s="304">
        <f>J309/F309</f>
        <v/>
      </c>
      <c r="M309" s="158" t="n"/>
    </row>
    <row r="310" ht="15" customHeight="1" s="272">
      <c r="A310" s="287" t="n"/>
      <c r="B310" s="298" t="n"/>
      <c r="C310" s="298" t="n"/>
      <c r="D310" s="208" t="inlineStr">
        <is>
          <t>8月</t>
        </is>
      </c>
      <c r="E310" s="299" t="n"/>
      <c r="F310" s="300" t="n"/>
      <c r="G310" s="301" t="n"/>
      <c r="H310" s="302" t="n"/>
      <c r="I310" s="303" t="n"/>
      <c r="J310" s="304">
        <f>G310+H310+I310</f>
        <v/>
      </c>
      <c r="K310" s="304">
        <f>J310/E310</f>
        <v/>
      </c>
      <c r="L310" s="304">
        <f>J310/F310</f>
        <v/>
      </c>
      <c r="M310" s="158" t="n"/>
    </row>
    <row r="311" ht="15" customHeight="1" s="272">
      <c r="A311" s="287" t="n"/>
      <c r="B311" s="298" t="n"/>
      <c r="C311" s="298" t="n"/>
      <c r="D311" s="208" t="inlineStr">
        <is>
          <t>9月</t>
        </is>
      </c>
      <c r="E311" s="299" t="n"/>
      <c r="F311" s="300" t="n"/>
      <c r="G311" s="301" t="n"/>
      <c r="H311" s="302" t="n"/>
      <c r="I311" s="303" t="n"/>
      <c r="J311" s="304">
        <f>G311+H311+I311</f>
        <v/>
      </c>
      <c r="K311" s="304">
        <f>J311/E311</f>
        <v/>
      </c>
      <c r="L311" s="304">
        <f>J311/F311</f>
        <v/>
      </c>
      <c r="M311" s="158" t="n"/>
    </row>
    <row r="312" ht="15" customHeight="1" s="272">
      <c r="A312" s="287" t="n"/>
      <c r="B312" s="298" t="n"/>
      <c r="C312" s="298" t="n"/>
      <c r="D312" s="208" t="inlineStr">
        <is>
          <t>10月</t>
        </is>
      </c>
      <c r="E312" s="299" t="n"/>
      <c r="F312" s="300" t="n"/>
      <c r="G312" s="301" t="n"/>
      <c r="H312" s="302" t="n"/>
      <c r="I312" s="303" t="n"/>
      <c r="J312" s="304">
        <f>G312+H312+I312</f>
        <v/>
      </c>
      <c r="K312" s="304">
        <f>J312/E312</f>
        <v/>
      </c>
      <c r="L312" s="304">
        <f>J312/F312</f>
        <v/>
      </c>
      <c r="M312" s="158" t="n"/>
    </row>
    <row r="313" ht="15" customHeight="1" s="272">
      <c r="A313" s="287" t="n"/>
      <c r="B313" s="298" t="n"/>
      <c r="C313" s="298" t="n"/>
      <c r="D313" s="208" t="inlineStr">
        <is>
          <t>11月</t>
        </is>
      </c>
      <c r="E313" s="299" t="n"/>
      <c r="F313" s="300" t="n"/>
      <c r="G313" s="301" t="n"/>
      <c r="H313" s="302" t="n"/>
      <c r="I313" s="303" t="n"/>
      <c r="J313" s="304">
        <f>G313+H313+I313</f>
        <v/>
      </c>
      <c r="K313" s="304">
        <f>J313/E313</f>
        <v/>
      </c>
      <c r="L313" s="304">
        <f>J313/F313</f>
        <v/>
      </c>
      <c r="M313" s="158" t="n"/>
    </row>
    <row r="314" ht="15" customHeight="1" s="272">
      <c r="A314" s="287" t="n"/>
      <c r="B314" s="298" t="n"/>
      <c r="C314" s="298" t="n"/>
      <c r="D314" s="208" t="inlineStr">
        <is>
          <t>12月</t>
        </is>
      </c>
      <c r="E314" s="299" t="n"/>
      <c r="F314" s="300" t="n"/>
      <c r="G314" s="301" t="n"/>
      <c r="H314" s="302" t="n"/>
      <c r="I314" s="303" t="n"/>
      <c r="J314" s="304">
        <f>G314+H314+I314</f>
        <v/>
      </c>
      <c r="K314" s="304">
        <f>J314/E314</f>
        <v/>
      </c>
      <c r="L314" s="304">
        <f>J314/F314</f>
        <v/>
      </c>
      <c r="M314" s="158" t="n"/>
    </row>
    <row r="315" ht="15" customHeight="1" s="272">
      <c r="A315" s="287" t="n"/>
      <c r="B315" s="298" t="n"/>
      <c r="C315" s="298" t="n"/>
      <c r="D315" s="208" t="inlineStr">
        <is>
          <t>1月</t>
        </is>
      </c>
      <c r="E315" s="299" t="n"/>
      <c r="F315" s="300" t="n"/>
      <c r="G315" s="301" t="n"/>
      <c r="H315" s="302" t="n"/>
      <c r="I315" s="303" t="n"/>
      <c r="J315" s="304">
        <f>G315+H315+I315</f>
        <v/>
      </c>
      <c r="K315" s="304">
        <f>J315/E315</f>
        <v/>
      </c>
      <c r="L315" s="304">
        <f>J315/F315</f>
        <v/>
      </c>
      <c r="M315" s="158" t="n"/>
    </row>
    <row r="316" ht="15" customHeight="1" s="272">
      <c r="A316" s="287" t="n"/>
      <c r="B316" s="298" t="n"/>
      <c r="C316" s="298" t="n"/>
      <c r="D316" s="208" t="inlineStr">
        <is>
          <t>2月</t>
        </is>
      </c>
      <c r="E316" s="299" t="n"/>
      <c r="F316" s="300" t="n"/>
      <c r="G316" s="301" t="n"/>
      <c r="H316" s="302" t="n"/>
      <c r="I316" s="303" t="n"/>
      <c r="J316" s="304">
        <f>G316+H316+I316</f>
        <v/>
      </c>
      <c r="K316" s="304">
        <f>J316/E316</f>
        <v/>
      </c>
      <c r="L316" s="304">
        <f>J316/F316</f>
        <v/>
      </c>
      <c r="M316" s="158" t="n"/>
    </row>
    <row r="317" ht="15" customHeight="1" s="272">
      <c r="A317" s="290" t="n"/>
      <c r="B317" s="305" t="n"/>
      <c r="C317" s="305" t="n"/>
      <c r="D317" s="211" t="inlineStr">
        <is>
          <t>3月</t>
        </is>
      </c>
      <c r="E317" s="306" t="n"/>
      <c r="F317" s="307" t="n"/>
      <c r="G317" s="308" t="n"/>
      <c r="H317" s="309" t="n"/>
      <c r="I317" s="310" t="n"/>
      <c r="J317" s="311">
        <f>G317+H317+I317</f>
        <v/>
      </c>
      <c r="K317" s="311">
        <f>J317/E317</f>
        <v/>
      </c>
      <c r="L317" s="311">
        <f>J317/F317</f>
        <v/>
      </c>
      <c r="M317" s="165" t="n"/>
    </row>
    <row r="318" ht="15" customHeight="1" s="272">
      <c r="A318" s="291" t="n">
        <v>27</v>
      </c>
      <c r="B318" s="168" t="n"/>
      <c r="C318" s="168" t="n"/>
      <c r="D318" s="205" t="inlineStr">
        <is>
          <t>4月</t>
        </is>
      </c>
      <c r="E318" s="292" t="n"/>
      <c r="F318" s="293" t="n"/>
      <c r="G318" s="294" t="n"/>
      <c r="H318" s="295" t="n"/>
      <c r="I318" s="296" t="n"/>
      <c r="J318" s="297">
        <f>G318+H318+I318</f>
        <v/>
      </c>
      <c r="K318" s="297">
        <f>J318/E318</f>
        <v/>
      </c>
      <c r="L318" s="297">
        <f>J318/F318</f>
        <v/>
      </c>
      <c r="M318" s="151" t="n"/>
    </row>
    <row r="319" ht="15" customHeight="1" s="272">
      <c r="A319" s="287" t="n"/>
      <c r="B319" s="298" t="n"/>
      <c r="C319" s="298" t="n"/>
      <c r="D319" s="208" t="inlineStr">
        <is>
          <t>5月</t>
        </is>
      </c>
      <c r="E319" s="299" t="n"/>
      <c r="F319" s="300" t="n"/>
      <c r="G319" s="301" t="n"/>
      <c r="H319" s="302" t="n"/>
      <c r="I319" s="303" t="n"/>
      <c r="J319" s="304">
        <f>G319+H319+I319</f>
        <v/>
      </c>
      <c r="K319" s="304">
        <f>J319/E319</f>
        <v/>
      </c>
      <c r="L319" s="304">
        <f>J319/F319</f>
        <v/>
      </c>
      <c r="M319" s="158" t="n"/>
    </row>
    <row r="320" ht="15" customHeight="1" s="272">
      <c r="A320" s="287" t="n"/>
      <c r="B320" s="298" t="n"/>
      <c r="C320" s="298" t="n"/>
      <c r="D320" s="208" t="inlineStr">
        <is>
          <t>6月</t>
        </is>
      </c>
      <c r="E320" s="299" t="n"/>
      <c r="F320" s="300" t="n"/>
      <c r="G320" s="301" t="n"/>
      <c r="H320" s="302" t="n"/>
      <c r="I320" s="303" t="n"/>
      <c r="J320" s="304">
        <f>G320+H320+I320</f>
        <v/>
      </c>
      <c r="K320" s="304">
        <f>J320/E320</f>
        <v/>
      </c>
      <c r="L320" s="304">
        <f>J320/F320</f>
        <v/>
      </c>
      <c r="M320" s="158" t="n"/>
    </row>
    <row r="321" ht="15" customHeight="1" s="272">
      <c r="A321" s="287" t="n"/>
      <c r="B321" s="298" t="n"/>
      <c r="C321" s="298" t="n"/>
      <c r="D321" s="208" t="inlineStr">
        <is>
          <t>7月</t>
        </is>
      </c>
      <c r="E321" s="299" t="n"/>
      <c r="F321" s="300" t="n"/>
      <c r="G321" s="301" t="n"/>
      <c r="H321" s="302" t="n"/>
      <c r="I321" s="303" t="n"/>
      <c r="J321" s="304">
        <f>G321+H321+I321</f>
        <v/>
      </c>
      <c r="K321" s="304">
        <f>J321/E321</f>
        <v/>
      </c>
      <c r="L321" s="304">
        <f>J321/F321</f>
        <v/>
      </c>
      <c r="M321" s="158" t="n"/>
    </row>
    <row r="322" ht="15" customHeight="1" s="272">
      <c r="A322" s="287" t="n"/>
      <c r="B322" s="298" t="n"/>
      <c r="C322" s="298" t="n"/>
      <c r="D322" s="208" t="inlineStr">
        <is>
          <t>8月</t>
        </is>
      </c>
      <c r="E322" s="299" t="n"/>
      <c r="F322" s="300" t="n"/>
      <c r="G322" s="301" t="n"/>
      <c r="H322" s="302" t="n"/>
      <c r="I322" s="303" t="n"/>
      <c r="J322" s="304">
        <f>G322+H322+I322</f>
        <v/>
      </c>
      <c r="K322" s="304">
        <f>J322/E322</f>
        <v/>
      </c>
      <c r="L322" s="304">
        <f>J322/F322</f>
        <v/>
      </c>
      <c r="M322" s="158" t="n"/>
    </row>
    <row r="323" ht="15" customHeight="1" s="272">
      <c r="A323" s="287" t="n"/>
      <c r="B323" s="298" t="n"/>
      <c r="C323" s="298" t="n"/>
      <c r="D323" s="208" t="inlineStr">
        <is>
          <t>9月</t>
        </is>
      </c>
      <c r="E323" s="299" t="n"/>
      <c r="F323" s="300" t="n"/>
      <c r="G323" s="301" t="n"/>
      <c r="H323" s="302" t="n"/>
      <c r="I323" s="303" t="n"/>
      <c r="J323" s="304">
        <f>G323+H323+I323</f>
        <v/>
      </c>
      <c r="K323" s="304">
        <f>J323/E323</f>
        <v/>
      </c>
      <c r="L323" s="304">
        <f>J323/F323</f>
        <v/>
      </c>
      <c r="M323" s="158" t="n"/>
    </row>
    <row r="324" ht="15" customHeight="1" s="272">
      <c r="A324" s="287" t="n"/>
      <c r="B324" s="298" t="n"/>
      <c r="C324" s="298" t="n"/>
      <c r="D324" s="208" t="inlineStr">
        <is>
          <t>10月</t>
        </is>
      </c>
      <c r="E324" s="299" t="n"/>
      <c r="F324" s="300" t="n"/>
      <c r="G324" s="301" t="n"/>
      <c r="H324" s="302" t="n"/>
      <c r="I324" s="303" t="n"/>
      <c r="J324" s="304">
        <f>G324+H324+I324</f>
        <v/>
      </c>
      <c r="K324" s="304">
        <f>J324/E324</f>
        <v/>
      </c>
      <c r="L324" s="304">
        <f>J324/F324</f>
        <v/>
      </c>
      <c r="M324" s="158" t="n"/>
    </row>
    <row r="325" ht="15" customHeight="1" s="272">
      <c r="A325" s="287" t="n"/>
      <c r="B325" s="298" t="n"/>
      <c r="C325" s="298" t="n"/>
      <c r="D325" s="208" t="inlineStr">
        <is>
          <t>11月</t>
        </is>
      </c>
      <c r="E325" s="299" t="n"/>
      <c r="F325" s="300" t="n"/>
      <c r="G325" s="301" t="n"/>
      <c r="H325" s="302" t="n"/>
      <c r="I325" s="303" t="n"/>
      <c r="J325" s="304">
        <f>G325+H325+I325</f>
        <v/>
      </c>
      <c r="K325" s="304">
        <f>J325/E325</f>
        <v/>
      </c>
      <c r="L325" s="304">
        <f>J325/F325</f>
        <v/>
      </c>
      <c r="M325" s="158" t="n"/>
    </row>
    <row r="326" ht="15" customHeight="1" s="272">
      <c r="A326" s="287" t="n"/>
      <c r="B326" s="298" t="n"/>
      <c r="C326" s="298" t="n"/>
      <c r="D326" s="208" t="inlineStr">
        <is>
          <t>12月</t>
        </is>
      </c>
      <c r="E326" s="299" t="n"/>
      <c r="F326" s="300" t="n"/>
      <c r="G326" s="301" t="n"/>
      <c r="H326" s="302" t="n"/>
      <c r="I326" s="303" t="n"/>
      <c r="J326" s="304">
        <f>G326+H326+I326</f>
        <v/>
      </c>
      <c r="K326" s="304">
        <f>J326/E326</f>
        <v/>
      </c>
      <c r="L326" s="304">
        <f>J326/F326</f>
        <v/>
      </c>
      <c r="M326" s="158" t="n"/>
    </row>
    <row r="327" ht="15" customHeight="1" s="272">
      <c r="A327" s="287" t="n"/>
      <c r="B327" s="298" t="n"/>
      <c r="C327" s="298" t="n"/>
      <c r="D327" s="208" t="inlineStr">
        <is>
          <t>1月</t>
        </is>
      </c>
      <c r="E327" s="299" t="n"/>
      <c r="F327" s="300" t="n"/>
      <c r="G327" s="301" t="n"/>
      <c r="H327" s="302" t="n"/>
      <c r="I327" s="303" t="n"/>
      <c r="J327" s="304">
        <f>G327+H327+I327</f>
        <v/>
      </c>
      <c r="K327" s="304">
        <f>J327/E327</f>
        <v/>
      </c>
      <c r="L327" s="304">
        <f>J327/F327</f>
        <v/>
      </c>
      <c r="M327" s="158" t="n"/>
    </row>
    <row r="328" ht="15" customHeight="1" s="272">
      <c r="A328" s="287" t="n"/>
      <c r="B328" s="298" t="n"/>
      <c r="C328" s="298" t="n"/>
      <c r="D328" s="208" t="inlineStr">
        <is>
          <t>2月</t>
        </is>
      </c>
      <c r="E328" s="299" t="n"/>
      <c r="F328" s="300" t="n"/>
      <c r="G328" s="301" t="n"/>
      <c r="H328" s="302" t="n"/>
      <c r="I328" s="303" t="n"/>
      <c r="J328" s="304">
        <f>G328+H328+I328</f>
        <v/>
      </c>
      <c r="K328" s="304">
        <f>J328/E328</f>
        <v/>
      </c>
      <c r="L328" s="304">
        <f>J328/F328</f>
        <v/>
      </c>
      <c r="M328" s="158" t="n"/>
    </row>
    <row r="329" ht="15" customHeight="1" s="272">
      <c r="A329" s="290" t="n"/>
      <c r="B329" s="305" t="n"/>
      <c r="C329" s="305" t="n"/>
      <c r="D329" s="211" t="inlineStr">
        <is>
          <t>3月</t>
        </is>
      </c>
      <c r="E329" s="306" t="n"/>
      <c r="F329" s="307" t="n"/>
      <c r="G329" s="308" t="n"/>
      <c r="H329" s="309" t="n"/>
      <c r="I329" s="310" t="n"/>
      <c r="J329" s="311">
        <f>G329+H329+I329</f>
        <v/>
      </c>
      <c r="K329" s="311">
        <f>J329/E329</f>
        <v/>
      </c>
      <c r="L329" s="311">
        <f>J329/F329</f>
        <v/>
      </c>
      <c r="M329" s="165" t="n"/>
    </row>
    <row r="330" ht="15" customHeight="1" s="272">
      <c r="A330" s="291" t="n">
        <v>28</v>
      </c>
      <c r="B330" s="168" t="n"/>
      <c r="C330" s="168" t="n"/>
      <c r="D330" s="205" t="inlineStr">
        <is>
          <t>4月</t>
        </is>
      </c>
      <c r="E330" s="292" t="n"/>
      <c r="F330" s="293" t="n"/>
      <c r="G330" s="294" t="n"/>
      <c r="H330" s="295" t="n"/>
      <c r="I330" s="296" t="n"/>
      <c r="J330" s="297">
        <f>G330+H330+I330</f>
        <v/>
      </c>
      <c r="K330" s="297">
        <f>J330/E330</f>
        <v/>
      </c>
      <c r="L330" s="297">
        <f>J330/F330</f>
        <v/>
      </c>
      <c r="M330" s="151" t="n"/>
    </row>
    <row r="331" ht="15" customHeight="1" s="272">
      <c r="A331" s="287" t="n"/>
      <c r="B331" s="298" t="n"/>
      <c r="C331" s="298" t="n"/>
      <c r="D331" s="208" t="inlineStr">
        <is>
          <t>5月</t>
        </is>
      </c>
      <c r="E331" s="299" t="n"/>
      <c r="F331" s="300" t="n"/>
      <c r="G331" s="301" t="n"/>
      <c r="H331" s="302" t="n"/>
      <c r="I331" s="303" t="n"/>
      <c r="J331" s="304">
        <f>G331+H331+I331</f>
        <v/>
      </c>
      <c r="K331" s="304">
        <f>J331/E331</f>
        <v/>
      </c>
      <c r="L331" s="304">
        <f>J331/F331</f>
        <v/>
      </c>
      <c r="M331" s="158" t="n"/>
    </row>
    <row r="332" ht="15" customHeight="1" s="272">
      <c r="A332" s="287" t="n"/>
      <c r="B332" s="298" t="n"/>
      <c r="C332" s="298" t="n"/>
      <c r="D332" s="208" t="inlineStr">
        <is>
          <t>6月</t>
        </is>
      </c>
      <c r="E332" s="299" t="n"/>
      <c r="F332" s="300" t="n"/>
      <c r="G332" s="301" t="n"/>
      <c r="H332" s="302" t="n"/>
      <c r="I332" s="303" t="n"/>
      <c r="J332" s="304">
        <f>G332+H332+I332</f>
        <v/>
      </c>
      <c r="K332" s="304">
        <f>J332/E332</f>
        <v/>
      </c>
      <c r="L332" s="304">
        <f>J332/F332</f>
        <v/>
      </c>
      <c r="M332" s="158" t="n"/>
    </row>
    <row r="333" ht="15" customHeight="1" s="272">
      <c r="A333" s="287" t="n"/>
      <c r="B333" s="298" t="n"/>
      <c r="C333" s="298" t="n"/>
      <c r="D333" s="208" t="inlineStr">
        <is>
          <t>7月</t>
        </is>
      </c>
      <c r="E333" s="299" t="n"/>
      <c r="F333" s="300" t="n"/>
      <c r="G333" s="301" t="n"/>
      <c r="H333" s="302" t="n"/>
      <c r="I333" s="303" t="n"/>
      <c r="J333" s="304">
        <f>G333+H333+I333</f>
        <v/>
      </c>
      <c r="K333" s="304">
        <f>J333/E333</f>
        <v/>
      </c>
      <c r="L333" s="304">
        <f>J333/F333</f>
        <v/>
      </c>
      <c r="M333" s="158" t="n"/>
    </row>
    <row r="334" ht="15" customHeight="1" s="272">
      <c r="A334" s="287" t="n"/>
      <c r="B334" s="298" t="n"/>
      <c r="C334" s="298" t="n"/>
      <c r="D334" s="208" t="inlineStr">
        <is>
          <t>8月</t>
        </is>
      </c>
      <c r="E334" s="299" t="n"/>
      <c r="F334" s="300" t="n"/>
      <c r="G334" s="301" t="n"/>
      <c r="H334" s="302" t="n"/>
      <c r="I334" s="303" t="n"/>
      <c r="J334" s="304">
        <f>G334+H334+I334</f>
        <v/>
      </c>
      <c r="K334" s="304">
        <f>J334/E334</f>
        <v/>
      </c>
      <c r="L334" s="304">
        <f>J334/F334</f>
        <v/>
      </c>
      <c r="M334" s="158" t="n"/>
    </row>
    <row r="335" ht="15" customHeight="1" s="272">
      <c r="A335" s="287" t="n"/>
      <c r="B335" s="298" t="n"/>
      <c r="C335" s="298" t="n"/>
      <c r="D335" s="208" t="inlineStr">
        <is>
          <t>9月</t>
        </is>
      </c>
      <c r="E335" s="299" t="n"/>
      <c r="F335" s="300" t="n"/>
      <c r="G335" s="301" t="n"/>
      <c r="H335" s="302" t="n"/>
      <c r="I335" s="303" t="n"/>
      <c r="J335" s="304">
        <f>G335+H335+I335</f>
        <v/>
      </c>
      <c r="K335" s="304">
        <f>J335/E335</f>
        <v/>
      </c>
      <c r="L335" s="304">
        <f>J335/F335</f>
        <v/>
      </c>
      <c r="M335" s="158" t="n"/>
    </row>
    <row r="336" ht="15" customHeight="1" s="272">
      <c r="A336" s="287" t="n"/>
      <c r="B336" s="298" t="n"/>
      <c r="C336" s="298" t="n"/>
      <c r="D336" s="208" t="inlineStr">
        <is>
          <t>10月</t>
        </is>
      </c>
      <c r="E336" s="299" t="n"/>
      <c r="F336" s="300" t="n"/>
      <c r="G336" s="301" t="n"/>
      <c r="H336" s="302" t="n"/>
      <c r="I336" s="303" t="n"/>
      <c r="J336" s="304">
        <f>G336+H336+I336</f>
        <v/>
      </c>
      <c r="K336" s="304">
        <f>J336/E336</f>
        <v/>
      </c>
      <c r="L336" s="304">
        <f>J336/F336</f>
        <v/>
      </c>
      <c r="M336" s="158" t="n"/>
    </row>
    <row r="337" ht="15" customHeight="1" s="272">
      <c r="A337" s="287" t="n"/>
      <c r="B337" s="298" t="n"/>
      <c r="C337" s="298" t="n"/>
      <c r="D337" s="208" t="inlineStr">
        <is>
          <t>11月</t>
        </is>
      </c>
      <c r="E337" s="299" t="n"/>
      <c r="F337" s="300" t="n"/>
      <c r="G337" s="301" t="n"/>
      <c r="H337" s="302" t="n"/>
      <c r="I337" s="303" t="n"/>
      <c r="J337" s="304">
        <f>G337+H337+I337</f>
        <v/>
      </c>
      <c r="K337" s="304">
        <f>J337/E337</f>
        <v/>
      </c>
      <c r="L337" s="304">
        <f>J337/F337</f>
        <v/>
      </c>
      <c r="M337" s="158" t="n"/>
    </row>
    <row r="338" ht="15" customHeight="1" s="272">
      <c r="A338" s="287" t="n"/>
      <c r="B338" s="298" t="n"/>
      <c r="C338" s="298" t="n"/>
      <c r="D338" s="208" t="inlineStr">
        <is>
          <t>12月</t>
        </is>
      </c>
      <c r="E338" s="299" t="n"/>
      <c r="F338" s="300" t="n"/>
      <c r="G338" s="301" t="n"/>
      <c r="H338" s="302" t="n"/>
      <c r="I338" s="303" t="n"/>
      <c r="J338" s="304">
        <f>G338+H338+I338</f>
        <v/>
      </c>
      <c r="K338" s="304">
        <f>J338/E338</f>
        <v/>
      </c>
      <c r="L338" s="304">
        <f>J338/F338</f>
        <v/>
      </c>
      <c r="M338" s="158" t="n"/>
    </row>
    <row r="339" ht="15" customHeight="1" s="272">
      <c r="A339" s="287" t="n"/>
      <c r="B339" s="298" t="n"/>
      <c r="C339" s="298" t="n"/>
      <c r="D339" s="208" t="inlineStr">
        <is>
          <t>1月</t>
        </is>
      </c>
      <c r="E339" s="299" t="n"/>
      <c r="F339" s="300" t="n"/>
      <c r="G339" s="301" t="n"/>
      <c r="H339" s="302" t="n"/>
      <c r="I339" s="303" t="n"/>
      <c r="J339" s="304">
        <f>G339+H339+I339</f>
        <v/>
      </c>
      <c r="K339" s="304">
        <f>J339/E339</f>
        <v/>
      </c>
      <c r="L339" s="304">
        <f>J339/F339</f>
        <v/>
      </c>
      <c r="M339" s="158" t="n"/>
    </row>
    <row r="340" ht="15" customHeight="1" s="272">
      <c r="A340" s="287" t="n"/>
      <c r="B340" s="298" t="n"/>
      <c r="C340" s="298" t="n"/>
      <c r="D340" s="208" t="inlineStr">
        <is>
          <t>2月</t>
        </is>
      </c>
      <c r="E340" s="299" t="n"/>
      <c r="F340" s="300" t="n"/>
      <c r="G340" s="301" t="n"/>
      <c r="H340" s="302" t="n"/>
      <c r="I340" s="303" t="n"/>
      <c r="J340" s="304">
        <f>G340+H340+I340</f>
        <v/>
      </c>
      <c r="K340" s="304">
        <f>J340/E340</f>
        <v/>
      </c>
      <c r="L340" s="304">
        <f>J340/F340</f>
        <v/>
      </c>
      <c r="M340" s="158" t="n"/>
    </row>
    <row r="341" ht="15" customHeight="1" s="272">
      <c r="A341" s="290" t="n"/>
      <c r="B341" s="305" t="n"/>
      <c r="C341" s="305" t="n"/>
      <c r="D341" s="211" t="inlineStr">
        <is>
          <t>3月</t>
        </is>
      </c>
      <c r="E341" s="306" t="n"/>
      <c r="F341" s="307" t="n"/>
      <c r="G341" s="308" t="n"/>
      <c r="H341" s="309" t="n"/>
      <c r="I341" s="310" t="n"/>
      <c r="J341" s="311">
        <f>G341+H341+I341</f>
        <v/>
      </c>
      <c r="K341" s="311">
        <f>J341/E341</f>
        <v/>
      </c>
      <c r="L341" s="311">
        <f>J341/F341</f>
        <v/>
      </c>
      <c r="M341" s="165" t="n"/>
    </row>
    <row r="342" ht="15" customHeight="1" s="272">
      <c r="A342" s="291" t="n">
        <v>29</v>
      </c>
      <c r="B342" s="168" t="n"/>
      <c r="C342" s="168" t="n"/>
      <c r="D342" s="205" t="inlineStr">
        <is>
          <t>4月</t>
        </is>
      </c>
      <c r="E342" s="292" t="n"/>
      <c r="F342" s="293" t="n"/>
      <c r="G342" s="294" t="n"/>
      <c r="H342" s="295" t="n"/>
      <c r="I342" s="296" t="n"/>
      <c r="J342" s="297">
        <f>G342+H342+I342</f>
        <v/>
      </c>
      <c r="K342" s="297">
        <f>J342/E342</f>
        <v/>
      </c>
      <c r="L342" s="297">
        <f>J342/F342</f>
        <v/>
      </c>
      <c r="M342" s="151" t="n"/>
    </row>
    <row r="343" ht="15" customHeight="1" s="272">
      <c r="A343" s="287" t="n"/>
      <c r="B343" s="298" t="n"/>
      <c r="C343" s="298" t="n"/>
      <c r="D343" s="208" t="inlineStr">
        <is>
          <t>5月</t>
        </is>
      </c>
      <c r="E343" s="299" t="n"/>
      <c r="F343" s="300" t="n"/>
      <c r="G343" s="301" t="n"/>
      <c r="H343" s="302" t="n"/>
      <c r="I343" s="303" t="n"/>
      <c r="J343" s="304">
        <f>G343+H343+I343</f>
        <v/>
      </c>
      <c r="K343" s="304">
        <f>J343/E343</f>
        <v/>
      </c>
      <c r="L343" s="304">
        <f>J343/F343</f>
        <v/>
      </c>
      <c r="M343" s="158" t="n"/>
    </row>
    <row r="344" ht="15" customHeight="1" s="272">
      <c r="A344" s="287" t="n"/>
      <c r="B344" s="298" t="n"/>
      <c r="C344" s="298" t="n"/>
      <c r="D344" s="208" t="inlineStr">
        <is>
          <t>6月</t>
        </is>
      </c>
      <c r="E344" s="299" t="n"/>
      <c r="F344" s="300" t="n"/>
      <c r="G344" s="301" t="n"/>
      <c r="H344" s="302" t="n"/>
      <c r="I344" s="303" t="n"/>
      <c r="J344" s="304">
        <f>G344+H344+I344</f>
        <v/>
      </c>
      <c r="K344" s="304">
        <f>J344/E344</f>
        <v/>
      </c>
      <c r="L344" s="304">
        <f>J344/F344</f>
        <v/>
      </c>
      <c r="M344" s="158" t="n"/>
    </row>
    <row r="345" ht="15" customHeight="1" s="272">
      <c r="A345" s="287" t="n"/>
      <c r="B345" s="298" t="n"/>
      <c r="C345" s="298" t="n"/>
      <c r="D345" s="208" t="inlineStr">
        <is>
          <t>7月</t>
        </is>
      </c>
      <c r="E345" s="299" t="n"/>
      <c r="F345" s="300" t="n"/>
      <c r="G345" s="301" t="n"/>
      <c r="H345" s="302" t="n"/>
      <c r="I345" s="303" t="n"/>
      <c r="J345" s="304">
        <f>G345+H345+I345</f>
        <v/>
      </c>
      <c r="K345" s="304">
        <f>J345/E345</f>
        <v/>
      </c>
      <c r="L345" s="304">
        <f>J345/F345</f>
        <v/>
      </c>
      <c r="M345" s="158" t="n"/>
    </row>
    <row r="346" ht="15" customHeight="1" s="272">
      <c r="A346" s="287" t="n"/>
      <c r="B346" s="298" t="n"/>
      <c r="C346" s="298" t="n"/>
      <c r="D346" s="208" t="inlineStr">
        <is>
          <t>8月</t>
        </is>
      </c>
      <c r="E346" s="299" t="n"/>
      <c r="F346" s="300" t="n"/>
      <c r="G346" s="301" t="n"/>
      <c r="H346" s="302" t="n"/>
      <c r="I346" s="303" t="n"/>
      <c r="J346" s="304">
        <f>G346+H346+I346</f>
        <v/>
      </c>
      <c r="K346" s="304">
        <f>J346/E346</f>
        <v/>
      </c>
      <c r="L346" s="304">
        <f>J346/F346</f>
        <v/>
      </c>
      <c r="M346" s="158" t="n"/>
    </row>
    <row r="347" ht="15" customHeight="1" s="272">
      <c r="A347" s="287" t="n"/>
      <c r="B347" s="298" t="n"/>
      <c r="C347" s="298" t="n"/>
      <c r="D347" s="208" t="inlineStr">
        <is>
          <t>9月</t>
        </is>
      </c>
      <c r="E347" s="299" t="n"/>
      <c r="F347" s="300" t="n"/>
      <c r="G347" s="301" t="n"/>
      <c r="H347" s="302" t="n"/>
      <c r="I347" s="303" t="n"/>
      <c r="J347" s="304">
        <f>G347+H347+I347</f>
        <v/>
      </c>
      <c r="K347" s="304">
        <f>J347/E347</f>
        <v/>
      </c>
      <c r="L347" s="304">
        <f>J347/F347</f>
        <v/>
      </c>
      <c r="M347" s="158" t="n"/>
    </row>
    <row r="348" ht="15" customHeight="1" s="272">
      <c r="A348" s="287" t="n"/>
      <c r="B348" s="298" t="n"/>
      <c r="C348" s="298" t="n"/>
      <c r="D348" s="208" t="inlineStr">
        <is>
          <t>10月</t>
        </is>
      </c>
      <c r="E348" s="299" t="n"/>
      <c r="F348" s="300" t="n"/>
      <c r="G348" s="301" t="n"/>
      <c r="H348" s="302" t="n"/>
      <c r="I348" s="303" t="n"/>
      <c r="J348" s="304">
        <f>G348+H348+I348</f>
        <v/>
      </c>
      <c r="K348" s="304">
        <f>J348/E348</f>
        <v/>
      </c>
      <c r="L348" s="304">
        <f>J348/F348</f>
        <v/>
      </c>
      <c r="M348" s="158" t="n"/>
    </row>
    <row r="349" ht="15" customHeight="1" s="272">
      <c r="A349" s="287" t="n"/>
      <c r="B349" s="298" t="n"/>
      <c r="C349" s="298" t="n"/>
      <c r="D349" s="208" t="inlineStr">
        <is>
          <t>11月</t>
        </is>
      </c>
      <c r="E349" s="299" t="n"/>
      <c r="F349" s="300" t="n"/>
      <c r="G349" s="301" t="n"/>
      <c r="H349" s="302" t="n"/>
      <c r="I349" s="303" t="n"/>
      <c r="J349" s="304">
        <f>G349+H349+I349</f>
        <v/>
      </c>
      <c r="K349" s="304">
        <f>J349/E349</f>
        <v/>
      </c>
      <c r="L349" s="304">
        <f>J349/F349</f>
        <v/>
      </c>
      <c r="M349" s="158" t="n"/>
    </row>
    <row r="350" ht="15" customHeight="1" s="272">
      <c r="A350" s="287" t="n"/>
      <c r="B350" s="298" t="n"/>
      <c r="C350" s="298" t="n"/>
      <c r="D350" s="208" t="inlineStr">
        <is>
          <t>12月</t>
        </is>
      </c>
      <c r="E350" s="299" t="n"/>
      <c r="F350" s="300" t="n"/>
      <c r="G350" s="301" t="n"/>
      <c r="H350" s="302" t="n"/>
      <c r="I350" s="303" t="n"/>
      <c r="J350" s="304">
        <f>G350+H350+I350</f>
        <v/>
      </c>
      <c r="K350" s="304">
        <f>J350/E350</f>
        <v/>
      </c>
      <c r="L350" s="304">
        <f>J350/F350</f>
        <v/>
      </c>
      <c r="M350" s="158" t="n"/>
    </row>
    <row r="351" ht="15" customHeight="1" s="272">
      <c r="A351" s="287" t="n"/>
      <c r="B351" s="298" t="n"/>
      <c r="C351" s="298" t="n"/>
      <c r="D351" s="208" t="inlineStr">
        <is>
          <t>1月</t>
        </is>
      </c>
      <c r="E351" s="299" t="n"/>
      <c r="F351" s="300" t="n"/>
      <c r="G351" s="301" t="n"/>
      <c r="H351" s="302" t="n"/>
      <c r="I351" s="303" t="n"/>
      <c r="J351" s="304">
        <f>G351+H351+I351</f>
        <v/>
      </c>
      <c r="K351" s="304">
        <f>J351/E351</f>
        <v/>
      </c>
      <c r="L351" s="304">
        <f>J351/F351</f>
        <v/>
      </c>
      <c r="M351" s="158" t="n"/>
    </row>
    <row r="352" ht="15" customHeight="1" s="272">
      <c r="A352" s="287" t="n"/>
      <c r="B352" s="298" t="n"/>
      <c r="C352" s="298" t="n"/>
      <c r="D352" s="208" t="inlineStr">
        <is>
          <t>2月</t>
        </is>
      </c>
      <c r="E352" s="299" t="n"/>
      <c r="F352" s="300" t="n"/>
      <c r="G352" s="301" t="n"/>
      <c r="H352" s="302" t="n"/>
      <c r="I352" s="303" t="n"/>
      <c r="J352" s="304">
        <f>G352+H352+I352</f>
        <v/>
      </c>
      <c r="K352" s="304">
        <f>J352/E352</f>
        <v/>
      </c>
      <c r="L352" s="304">
        <f>J352/F352</f>
        <v/>
      </c>
      <c r="M352" s="158" t="n"/>
    </row>
    <row r="353" ht="15" customHeight="1" s="272">
      <c r="A353" s="290" t="n"/>
      <c r="B353" s="305" t="n"/>
      <c r="C353" s="305" t="n"/>
      <c r="D353" s="211" t="inlineStr">
        <is>
          <t>3月</t>
        </is>
      </c>
      <c r="E353" s="306" t="n"/>
      <c r="F353" s="307" t="n"/>
      <c r="G353" s="308" t="n"/>
      <c r="H353" s="309" t="n"/>
      <c r="I353" s="310" t="n"/>
      <c r="J353" s="311">
        <f>G353+H353+I353</f>
        <v/>
      </c>
      <c r="K353" s="311">
        <f>J353/E353</f>
        <v/>
      </c>
      <c r="L353" s="311">
        <f>J353/F353</f>
        <v/>
      </c>
      <c r="M353" s="165" t="n"/>
    </row>
    <row r="354" ht="15" customHeight="1" s="272">
      <c r="A354" s="291" t="n">
        <v>30</v>
      </c>
      <c r="B354" s="168" t="n"/>
      <c r="C354" s="168" t="n"/>
      <c r="D354" s="205" t="inlineStr">
        <is>
          <t>4月</t>
        </is>
      </c>
      <c r="E354" s="292" t="n"/>
      <c r="F354" s="293" t="n"/>
      <c r="G354" s="294" t="n"/>
      <c r="H354" s="295" t="n"/>
      <c r="I354" s="296" t="n"/>
      <c r="J354" s="297">
        <f>G354+H354+I354</f>
        <v/>
      </c>
      <c r="K354" s="297">
        <f>J354/E354</f>
        <v/>
      </c>
      <c r="L354" s="297">
        <f>J354/F354</f>
        <v/>
      </c>
      <c r="M354" s="151" t="n"/>
    </row>
    <row r="355" ht="15" customHeight="1" s="272">
      <c r="A355" s="287" t="n"/>
      <c r="B355" s="298" t="n"/>
      <c r="C355" s="298" t="n"/>
      <c r="D355" s="208" t="inlineStr">
        <is>
          <t>5月</t>
        </is>
      </c>
      <c r="E355" s="299" t="n"/>
      <c r="F355" s="300" t="n"/>
      <c r="G355" s="301" t="n"/>
      <c r="H355" s="302" t="n"/>
      <c r="I355" s="303" t="n"/>
      <c r="J355" s="304">
        <f>G355+H355+I355</f>
        <v/>
      </c>
      <c r="K355" s="304">
        <f>J355/E355</f>
        <v/>
      </c>
      <c r="L355" s="304">
        <f>J355/F355</f>
        <v/>
      </c>
      <c r="M355" s="158" t="n"/>
    </row>
    <row r="356" ht="15" customHeight="1" s="272">
      <c r="A356" s="287" t="n"/>
      <c r="B356" s="298" t="n"/>
      <c r="C356" s="298" t="n"/>
      <c r="D356" s="208" t="inlineStr">
        <is>
          <t>6月</t>
        </is>
      </c>
      <c r="E356" s="299" t="n"/>
      <c r="F356" s="300" t="n"/>
      <c r="G356" s="301" t="n"/>
      <c r="H356" s="302" t="n"/>
      <c r="I356" s="303" t="n"/>
      <c r="J356" s="304">
        <f>G356+H356+I356</f>
        <v/>
      </c>
      <c r="K356" s="304">
        <f>J356/E356</f>
        <v/>
      </c>
      <c r="L356" s="304">
        <f>J356/F356</f>
        <v/>
      </c>
      <c r="M356" s="158" t="n"/>
    </row>
    <row r="357" ht="15" customHeight="1" s="272">
      <c r="A357" s="287" t="n"/>
      <c r="B357" s="298" t="n"/>
      <c r="C357" s="298" t="n"/>
      <c r="D357" s="208" t="inlineStr">
        <is>
          <t>7月</t>
        </is>
      </c>
      <c r="E357" s="299" t="n"/>
      <c r="F357" s="300" t="n"/>
      <c r="G357" s="301" t="n"/>
      <c r="H357" s="302" t="n"/>
      <c r="I357" s="303" t="n"/>
      <c r="J357" s="304">
        <f>G357+H357+I357</f>
        <v/>
      </c>
      <c r="K357" s="304">
        <f>J357/E357</f>
        <v/>
      </c>
      <c r="L357" s="304">
        <f>J357/F357</f>
        <v/>
      </c>
      <c r="M357" s="158" t="n"/>
    </row>
    <row r="358" ht="15" customHeight="1" s="272">
      <c r="A358" s="287" t="n"/>
      <c r="B358" s="298" t="n"/>
      <c r="C358" s="298" t="n"/>
      <c r="D358" s="208" t="inlineStr">
        <is>
          <t>8月</t>
        </is>
      </c>
      <c r="E358" s="299" t="n"/>
      <c r="F358" s="300" t="n"/>
      <c r="G358" s="301" t="n"/>
      <c r="H358" s="302" t="n"/>
      <c r="I358" s="303" t="n"/>
      <c r="J358" s="304">
        <f>G358+H358+I358</f>
        <v/>
      </c>
      <c r="K358" s="304">
        <f>J358/E358</f>
        <v/>
      </c>
      <c r="L358" s="304">
        <f>J358/F358</f>
        <v/>
      </c>
      <c r="M358" s="158" t="n"/>
    </row>
    <row r="359" ht="15" customHeight="1" s="272">
      <c r="A359" s="287" t="n"/>
      <c r="B359" s="298" t="n"/>
      <c r="C359" s="298" t="n"/>
      <c r="D359" s="208" t="inlineStr">
        <is>
          <t>9月</t>
        </is>
      </c>
      <c r="E359" s="299" t="n"/>
      <c r="F359" s="300" t="n"/>
      <c r="G359" s="301" t="n"/>
      <c r="H359" s="302" t="n"/>
      <c r="I359" s="303" t="n"/>
      <c r="J359" s="304">
        <f>G359+H359+I359</f>
        <v/>
      </c>
      <c r="K359" s="304">
        <f>J359/E359</f>
        <v/>
      </c>
      <c r="L359" s="304">
        <f>J359/F359</f>
        <v/>
      </c>
      <c r="M359" s="158" t="n"/>
    </row>
    <row r="360" ht="15" customHeight="1" s="272">
      <c r="A360" s="287" t="n"/>
      <c r="B360" s="298" t="n"/>
      <c r="C360" s="298" t="n"/>
      <c r="D360" s="208" t="inlineStr">
        <is>
          <t>10月</t>
        </is>
      </c>
      <c r="E360" s="299" t="n"/>
      <c r="F360" s="300" t="n"/>
      <c r="G360" s="301" t="n"/>
      <c r="H360" s="302" t="n"/>
      <c r="I360" s="303" t="n"/>
      <c r="J360" s="304">
        <f>G360+H360+I360</f>
        <v/>
      </c>
      <c r="K360" s="304">
        <f>J360/E360</f>
        <v/>
      </c>
      <c r="L360" s="304">
        <f>J360/F360</f>
        <v/>
      </c>
      <c r="M360" s="158" t="n"/>
    </row>
    <row r="361" ht="15" customHeight="1" s="272">
      <c r="A361" s="287" t="n"/>
      <c r="B361" s="298" t="n"/>
      <c r="C361" s="298" t="n"/>
      <c r="D361" s="208" t="inlineStr">
        <is>
          <t>11月</t>
        </is>
      </c>
      <c r="E361" s="299" t="n"/>
      <c r="F361" s="300" t="n"/>
      <c r="G361" s="301" t="n"/>
      <c r="H361" s="302" t="n"/>
      <c r="I361" s="303" t="n"/>
      <c r="J361" s="304">
        <f>G361+H361+I361</f>
        <v/>
      </c>
      <c r="K361" s="304">
        <f>J361/E361</f>
        <v/>
      </c>
      <c r="L361" s="304">
        <f>J361/F361</f>
        <v/>
      </c>
      <c r="M361" s="158" t="n"/>
    </row>
    <row r="362" ht="15" customHeight="1" s="272">
      <c r="A362" s="287" t="n"/>
      <c r="B362" s="298" t="n"/>
      <c r="C362" s="298" t="n"/>
      <c r="D362" s="208" t="inlineStr">
        <is>
          <t>12月</t>
        </is>
      </c>
      <c r="E362" s="299" t="n"/>
      <c r="F362" s="300" t="n"/>
      <c r="G362" s="301" t="n"/>
      <c r="H362" s="302" t="n"/>
      <c r="I362" s="303" t="n"/>
      <c r="J362" s="304">
        <f>G362+H362+I362</f>
        <v/>
      </c>
      <c r="K362" s="304">
        <f>J362/E362</f>
        <v/>
      </c>
      <c r="L362" s="304">
        <f>J362/F362</f>
        <v/>
      </c>
      <c r="M362" s="158" t="n"/>
    </row>
    <row r="363" ht="15" customHeight="1" s="272">
      <c r="A363" s="287" t="n"/>
      <c r="B363" s="298" t="n"/>
      <c r="C363" s="298" t="n"/>
      <c r="D363" s="208" t="inlineStr">
        <is>
          <t>1月</t>
        </is>
      </c>
      <c r="E363" s="299" t="n"/>
      <c r="F363" s="300" t="n"/>
      <c r="G363" s="301" t="n"/>
      <c r="H363" s="302" t="n"/>
      <c r="I363" s="303" t="n"/>
      <c r="J363" s="304">
        <f>G363+H363+I363</f>
        <v/>
      </c>
      <c r="K363" s="304">
        <f>J363/E363</f>
        <v/>
      </c>
      <c r="L363" s="304">
        <f>J363/F363</f>
        <v/>
      </c>
      <c r="M363" s="158" t="n"/>
    </row>
    <row r="364" ht="15" customHeight="1" s="272">
      <c r="A364" s="287" t="n"/>
      <c r="B364" s="298" t="n"/>
      <c r="C364" s="298" t="n"/>
      <c r="D364" s="208" t="inlineStr">
        <is>
          <t>2月</t>
        </is>
      </c>
      <c r="E364" s="299" t="n"/>
      <c r="F364" s="300" t="n"/>
      <c r="G364" s="301" t="n"/>
      <c r="H364" s="302" t="n"/>
      <c r="I364" s="303" t="n"/>
      <c r="J364" s="304">
        <f>G364+H364+I364</f>
        <v/>
      </c>
      <c r="K364" s="304">
        <f>J364/E364</f>
        <v/>
      </c>
      <c r="L364" s="304">
        <f>J364/F364</f>
        <v/>
      </c>
      <c r="M364" s="158" t="n"/>
    </row>
    <row r="365" ht="15" customHeight="1" s="272">
      <c r="A365" s="290" t="n"/>
      <c r="B365" s="305" t="n"/>
      <c r="C365" s="305" t="n"/>
      <c r="D365" s="211" t="inlineStr">
        <is>
          <t>3月</t>
        </is>
      </c>
      <c r="E365" s="306" t="n"/>
      <c r="F365" s="307" t="n"/>
      <c r="G365" s="308" t="n"/>
      <c r="H365" s="309" t="n"/>
      <c r="I365" s="310" t="n"/>
      <c r="J365" s="311">
        <f>G365+H365+I365</f>
        <v/>
      </c>
      <c r="K365" s="311">
        <f>J365/E365</f>
        <v/>
      </c>
      <c r="L365" s="311">
        <f>J365/F365</f>
        <v/>
      </c>
      <c r="M365" s="165" t="n"/>
    </row>
    <row r="366" ht="15" customHeight="1" s="272">
      <c r="A366" s="291" t="n">
        <v>31</v>
      </c>
      <c r="B366" s="168" t="n"/>
      <c r="C366" s="168" t="n"/>
      <c r="D366" s="205" t="inlineStr">
        <is>
          <t>4月</t>
        </is>
      </c>
      <c r="E366" s="292" t="n"/>
      <c r="F366" s="293" t="n"/>
      <c r="G366" s="294" t="n"/>
      <c r="H366" s="295" t="n"/>
      <c r="I366" s="296" t="n"/>
      <c r="J366" s="297">
        <f>G366+H366+I366</f>
        <v/>
      </c>
      <c r="K366" s="297">
        <f>J366/E366</f>
        <v/>
      </c>
      <c r="L366" s="297">
        <f>J366/F366</f>
        <v/>
      </c>
      <c r="M366" s="151" t="n"/>
    </row>
    <row r="367" ht="15" customHeight="1" s="272">
      <c r="A367" s="287" t="n"/>
      <c r="B367" s="298" t="n"/>
      <c r="C367" s="298" t="n"/>
      <c r="D367" s="208" t="inlineStr">
        <is>
          <t>5月</t>
        </is>
      </c>
      <c r="E367" s="299" t="n"/>
      <c r="F367" s="300" t="n"/>
      <c r="G367" s="301" t="n"/>
      <c r="H367" s="302" t="n"/>
      <c r="I367" s="303" t="n"/>
      <c r="J367" s="304">
        <f>G367+H367+I367</f>
        <v/>
      </c>
      <c r="K367" s="304">
        <f>J367/E367</f>
        <v/>
      </c>
      <c r="L367" s="304">
        <f>J367/F367</f>
        <v/>
      </c>
      <c r="M367" s="158" t="n"/>
    </row>
    <row r="368" ht="15" customHeight="1" s="272">
      <c r="A368" s="287" t="n"/>
      <c r="B368" s="298" t="n"/>
      <c r="C368" s="298" t="n"/>
      <c r="D368" s="208" t="inlineStr">
        <is>
          <t>6月</t>
        </is>
      </c>
      <c r="E368" s="299" t="n"/>
      <c r="F368" s="300" t="n"/>
      <c r="G368" s="301" t="n"/>
      <c r="H368" s="302" t="n"/>
      <c r="I368" s="303" t="n"/>
      <c r="J368" s="304">
        <f>G368+H368+I368</f>
        <v/>
      </c>
      <c r="K368" s="304">
        <f>J368/E368</f>
        <v/>
      </c>
      <c r="L368" s="304">
        <f>J368/F368</f>
        <v/>
      </c>
      <c r="M368" s="158" t="n"/>
    </row>
    <row r="369" ht="15" customHeight="1" s="272">
      <c r="A369" s="287" t="n"/>
      <c r="B369" s="298" t="n"/>
      <c r="C369" s="298" t="n"/>
      <c r="D369" s="208" t="inlineStr">
        <is>
          <t>7月</t>
        </is>
      </c>
      <c r="E369" s="299" t="n"/>
      <c r="F369" s="300" t="n"/>
      <c r="G369" s="301" t="n"/>
      <c r="H369" s="302" t="n"/>
      <c r="I369" s="303" t="n"/>
      <c r="J369" s="304">
        <f>G369+H369+I369</f>
        <v/>
      </c>
      <c r="K369" s="304">
        <f>J369/E369</f>
        <v/>
      </c>
      <c r="L369" s="304">
        <f>J369/F369</f>
        <v/>
      </c>
      <c r="M369" s="158" t="n"/>
    </row>
    <row r="370" ht="15" customHeight="1" s="272">
      <c r="A370" s="287" t="n"/>
      <c r="B370" s="298" t="n"/>
      <c r="C370" s="298" t="n"/>
      <c r="D370" s="208" t="inlineStr">
        <is>
          <t>8月</t>
        </is>
      </c>
      <c r="E370" s="299" t="n"/>
      <c r="F370" s="300" t="n"/>
      <c r="G370" s="301" t="n"/>
      <c r="H370" s="302" t="n"/>
      <c r="I370" s="303" t="n"/>
      <c r="J370" s="304">
        <f>G370+H370+I370</f>
        <v/>
      </c>
      <c r="K370" s="304">
        <f>J370/E370</f>
        <v/>
      </c>
      <c r="L370" s="304">
        <f>J370/F370</f>
        <v/>
      </c>
      <c r="M370" s="158" t="n"/>
    </row>
    <row r="371" ht="15" customHeight="1" s="272">
      <c r="A371" s="287" t="n"/>
      <c r="B371" s="298" t="n"/>
      <c r="C371" s="298" t="n"/>
      <c r="D371" s="208" t="inlineStr">
        <is>
          <t>9月</t>
        </is>
      </c>
      <c r="E371" s="299" t="n"/>
      <c r="F371" s="300" t="n"/>
      <c r="G371" s="301" t="n"/>
      <c r="H371" s="302" t="n"/>
      <c r="I371" s="303" t="n"/>
      <c r="J371" s="304">
        <f>G371+H371+I371</f>
        <v/>
      </c>
      <c r="K371" s="304">
        <f>J371/E371</f>
        <v/>
      </c>
      <c r="L371" s="304">
        <f>J371/F371</f>
        <v/>
      </c>
      <c r="M371" s="158" t="n"/>
    </row>
    <row r="372" ht="15" customHeight="1" s="272">
      <c r="A372" s="287" t="n"/>
      <c r="B372" s="298" t="n"/>
      <c r="C372" s="298" t="n"/>
      <c r="D372" s="208" t="inlineStr">
        <is>
          <t>10月</t>
        </is>
      </c>
      <c r="E372" s="299" t="n"/>
      <c r="F372" s="300" t="n"/>
      <c r="G372" s="301" t="n"/>
      <c r="H372" s="302" t="n"/>
      <c r="I372" s="303" t="n"/>
      <c r="J372" s="304">
        <f>G372+H372+I372</f>
        <v/>
      </c>
      <c r="K372" s="304">
        <f>J372/E372</f>
        <v/>
      </c>
      <c r="L372" s="304">
        <f>J372/F372</f>
        <v/>
      </c>
      <c r="M372" s="158" t="n"/>
    </row>
    <row r="373" ht="15" customHeight="1" s="272">
      <c r="A373" s="287" t="n"/>
      <c r="B373" s="298" t="n"/>
      <c r="C373" s="298" t="n"/>
      <c r="D373" s="208" t="inlineStr">
        <is>
          <t>11月</t>
        </is>
      </c>
      <c r="E373" s="299" t="n"/>
      <c r="F373" s="300" t="n"/>
      <c r="G373" s="301" t="n"/>
      <c r="H373" s="302" t="n"/>
      <c r="I373" s="303" t="n"/>
      <c r="J373" s="304">
        <f>G373+H373+I373</f>
        <v/>
      </c>
      <c r="K373" s="304">
        <f>J373/E373</f>
        <v/>
      </c>
      <c r="L373" s="304">
        <f>J373/F373</f>
        <v/>
      </c>
      <c r="M373" s="158" t="n"/>
    </row>
    <row r="374" ht="15" customHeight="1" s="272">
      <c r="A374" s="287" t="n"/>
      <c r="B374" s="298" t="n"/>
      <c r="C374" s="298" t="n"/>
      <c r="D374" s="208" t="inlineStr">
        <is>
          <t>12月</t>
        </is>
      </c>
      <c r="E374" s="299" t="n"/>
      <c r="F374" s="300" t="n"/>
      <c r="G374" s="301" t="n"/>
      <c r="H374" s="302" t="n"/>
      <c r="I374" s="303" t="n"/>
      <c r="J374" s="304">
        <f>G374+H374+I374</f>
        <v/>
      </c>
      <c r="K374" s="304">
        <f>J374/E374</f>
        <v/>
      </c>
      <c r="L374" s="304">
        <f>J374/F374</f>
        <v/>
      </c>
      <c r="M374" s="158" t="n"/>
    </row>
    <row r="375" ht="15" customHeight="1" s="272">
      <c r="A375" s="287" t="n"/>
      <c r="B375" s="298" t="n"/>
      <c r="C375" s="298" t="n"/>
      <c r="D375" s="208" t="inlineStr">
        <is>
          <t>1月</t>
        </is>
      </c>
      <c r="E375" s="299" t="n"/>
      <c r="F375" s="300" t="n"/>
      <c r="G375" s="301" t="n"/>
      <c r="H375" s="302" t="n"/>
      <c r="I375" s="303" t="n"/>
      <c r="J375" s="304">
        <f>G375+H375+I375</f>
        <v/>
      </c>
      <c r="K375" s="304">
        <f>J375/E375</f>
        <v/>
      </c>
      <c r="L375" s="304">
        <f>J375/F375</f>
        <v/>
      </c>
      <c r="M375" s="158" t="n"/>
    </row>
    <row r="376" ht="15" customHeight="1" s="272">
      <c r="A376" s="287" t="n"/>
      <c r="B376" s="298" t="n"/>
      <c r="C376" s="298" t="n"/>
      <c r="D376" s="208" t="inlineStr">
        <is>
          <t>2月</t>
        </is>
      </c>
      <c r="E376" s="299" t="n"/>
      <c r="F376" s="300" t="n"/>
      <c r="G376" s="301" t="n"/>
      <c r="H376" s="302" t="n"/>
      <c r="I376" s="303" t="n"/>
      <c r="J376" s="304">
        <f>G376+H376+I376</f>
        <v/>
      </c>
      <c r="K376" s="304">
        <f>J376/E376</f>
        <v/>
      </c>
      <c r="L376" s="304">
        <f>J376/F376</f>
        <v/>
      </c>
      <c r="M376" s="158" t="n"/>
    </row>
    <row r="377" ht="15" customHeight="1" s="272">
      <c r="A377" s="290" t="n"/>
      <c r="B377" s="305" t="n"/>
      <c r="C377" s="305" t="n"/>
      <c r="D377" s="211" t="inlineStr">
        <is>
          <t>3月</t>
        </is>
      </c>
      <c r="E377" s="306" t="n"/>
      <c r="F377" s="307" t="n"/>
      <c r="G377" s="308" t="n"/>
      <c r="H377" s="309" t="n"/>
      <c r="I377" s="310" t="n"/>
      <c r="J377" s="312">
        <f>G377+H377+I377</f>
        <v/>
      </c>
      <c r="K377" s="312">
        <f>J377/E377</f>
        <v/>
      </c>
      <c r="L377" s="312">
        <f>J377/F377</f>
        <v/>
      </c>
      <c r="M377" s="165" t="n"/>
    </row>
    <row r="378" ht="15" customHeight="1" s="272">
      <c r="A378" s="291" t="n">
        <v>32</v>
      </c>
      <c r="B378" s="168" t="n"/>
      <c r="C378" s="168" t="n"/>
      <c r="D378" s="205" t="inlineStr">
        <is>
          <t>4月</t>
        </is>
      </c>
      <c r="E378" s="292" t="n"/>
      <c r="F378" s="293" t="n"/>
      <c r="G378" s="294" t="n"/>
      <c r="H378" s="295" t="n"/>
      <c r="I378" s="296" t="n"/>
      <c r="J378" s="297">
        <f>G378+H378+I378</f>
        <v/>
      </c>
      <c r="K378" s="297">
        <f>J378/E378</f>
        <v/>
      </c>
      <c r="L378" s="297">
        <f>J378/F378</f>
        <v/>
      </c>
      <c r="M378" s="151" t="n"/>
    </row>
    <row r="379" ht="15" customHeight="1" s="272">
      <c r="A379" s="287" t="n"/>
      <c r="B379" s="298" t="n"/>
      <c r="C379" s="298" t="n"/>
      <c r="D379" s="208" t="inlineStr">
        <is>
          <t>5月</t>
        </is>
      </c>
      <c r="E379" s="299" t="n"/>
      <c r="F379" s="300" t="n"/>
      <c r="G379" s="301" t="n"/>
      <c r="H379" s="302" t="n"/>
      <c r="I379" s="303" t="n"/>
      <c r="J379" s="304">
        <f>G379+H379+I379</f>
        <v/>
      </c>
      <c r="K379" s="304">
        <f>J379/E379</f>
        <v/>
      </c>
      <c r="L379" s="304">
        <f>J379/F379</f>
        <v/>
      </c>
      <c r="M379" s="158" t="n"/>
    </row>
    <row r="380" ht="15" customHeight="1" s="272">
      <c r="A380" s="287" t="n"/>
      <c r="B380" s="298" t="n"/>
      <c r="C380" s="298" t="n"/>
      <c r="D380" s="208" t="inlineStr">
        <is>
          <t>6月</t>
        </is>
      </c>
      <c r="E380" s="299" t="n"/>
      <c r="F380" s="300" t="n"/>
      <c r="G380" s="301" t="n"/>
      <c r="H380" s="302" t="n"/>
      <c r="I380" s="303" t="n"/>
      <c r="J380" s="304">
        <f>G380+H380+I380</f>
        <v/>
      </c>
      <c r="K380" s="304">
        <f>J380/E380</f>
        <v/>
      </c>
      <c r="L380" s="304">
        <f>J380/F380</f>
        <v/>
      </c>
      <c r="M380" s="158" t="n"/>
    </row>
    <row r="381" ht="15" customHeight="1" s="272">
      <c r="A381" s="287" t="n"/>
      <c r="B381" s="298" t="n"/>
      <c r="C381" s="298" t="n"/>
      <c r="D381" s="208" t="inlineStr">
        <is>
          <t>7月</t>
        </is>
      </c>
      <c r="E381" s="299" t="n"/>
      <c r="F381" s="300" t="n"/>
      <c r="G381" s="301" t="n"/>
      <c r="H381" s="302" t="n"/>
      <c r="I381" s="303" t="n"/>
      <c r="J381" s="304">
        <f>G381+H381+I381</f>
        <v/>
      </c>
      <c r="K381" s="304">
        <f>J381/E381</f>
        <v/>
      </c>
      <c r="L381" s="304">
        <f>J381/F381</f>
        <v/>
      </c>
      <c r="M381" s="158" t="n"/>
    </row>
    <row r="382" ht="15" customHeight="1" s="272">
      <c r="A382" s="287" t="n"/>
      <c r="B382" s="298" t="n"/>
      <c r="C382" s="298" t="n"/>
      <c r="D382" s="208" t="inlineStr">
        <is>
          <t>8月</t>
        </is>
      </c>
      <c r="E382" s="299" t="n"/>
      <c r="F382" s="300" t="n"/>
      <c r="G382" s="301" t="n"/>
      <c r="H382" s="302" t="n"/>
      <c r="I382" s="303" t="n"/>
      <c r="J382" s="304">
        <f>G382+H382+I382</f>
        <v/>
      </c>
      <c r="K382" s="304">
        <f>J382/E382</f>
        <v/>
      </c>
      <c r="L382" s="304">
        <f>J382/F382</f>
        <v/>
      </c>
      <c r="M382" s="158" t="n"/>
    </row>
    <row r="383" ht="15" customHeight="1" s="272">
      <c r="A383" s="287" t="n"/>
      <c r="B383" s="298" t="n"/>
      <c r="C383" s="298" t="n"/>
      <c r="D383" s="208" t="inlineStr">
        <is>
          <t>9月</t>
        </is>
      </c>
      <c r="E383" s="299" t="n"/>
      <c r="F383" s="300" t="n"/>
      <c r="G383" s="301" t="n"/>
      <c r="H383" s="302" t="n"/>
      <c r="I383" s="303" t="n"/>
      <c r="J383" s="304">
        <f>G383+H383+I383</f>
        <v/>
      </c>
      <c r="K383" s="304">
        <f>J383/E383</f>
        <v/>
      </c>
      <c r="L383" s="304">
        <f>J383/F383</f>
        <v/>
      </c>
      <c r="M383" s="158" t="n"/>
    </row>
    <row r="384" ht="15" customHeight="1" s="272">
      <c r="A384" s="287" t="n"/>
      <c r="B384" s="298" t="n"/>
      <c r="C384" s="298" t="n"/>
      <c r="D384" s="208" t="inlineStr">
        <is>
          <t>10月</t>
        </is>
      </c>
      <c r="E384" s="299" t="n"/>
      <c r="F384" s="300" t="n"/>
      <c r="G384" s="301" t="n"/>
      <c r="H384" s="302" t="n"/>
      <c r="I384" s="303" t="n"/>
      <c r="J384" s="304">
        <f>G384+H384+I384</f>
        <v/>
      </c>
      <c r="K384" s="304">
        <f>J384/E384</f>
        <v/>
      </c>
      <c r="L384" s="304">
        <f>J384/F384</f>
        <v/>
      </c>
      <c r="M384" s="158" t="n"/>
    </row>
    <row r="385" ht="15" customHeight="1" s="272">
      <c r="A385" s="287" t="n"/>
      <c r="B385" s="298" t="n"/>
      <c r="C385" s="298" t="n"/>
      <c r="D385" s="208" t="inlineStr">
        <is>
          <t>11月</t>
        </is>
      </c>
      <c r="E385" s="299" t="n"/>
      <c r="F385" s="300" t="n"/>
      <c r="G385" s="301" t="n"/>
      <c r="H385" s="302" t="n"/>
      <c r="I385" s="303" t="n"/>
      <c r="J385" s="304">
        <f>G385+H385+I385</f>
        <v/>
      </c>
      <c r="K385" s="304">
        <f>J385/E385</f>
        <v/>
      </c>
      <c r="L385" s="304">
        <f>J385/F385</f>
        <v/>
      </c>
      <c r="M385" s="158" t="n"/>
    </row>
    <row r="386" ht="15" customHeight="1" s="272">
      <c r="A386" s="287" t="n"/>
      <c r="B386" s="298" t="n"/>
      <c r="C386" s="298" t="n"/>
      <c r="D386" s="208" t="inlineStr">
        <is>
          <t>12月</t>
        </is>
      </c>
      <c r="E386" s="299" t="n"/>
      <c r="F386" s="300" t="n"/>
      <c r="G386" s="301" t="n"/>
      <c r="H386" s="302" t="n"/>
      <c r="I386" s="303" t="n"/>
      <c r="J386" s="304">
        <f>G386+H386+I386</f>
        <v/>
      </c>
      <c r="K386" s="304">
        <f>J386/E386</f>
        <v/>
      </c>
      <c r="L386" s="304">
        <f>J386/F386</f>
        <v/>
      </c>
      <c r="M386" s="158" t="n"/>
    </row>
    <row r="387" ht="15" customHeight="1" s="272">
      <c r="A387" s="287" t="n"/>
      <c r="B387" s="298" t="n"/>
      <c r="C387" s="298" t="n"/>
      <c r="D387" s="208" t="inlineStr">
        <is>
          <t>1月</t>
        </is>
      </c>
      <c r="E387" s="299" t="n"/>
      <c r="F387" s="300" t="n"/>
      <c r="G387" s="301" t="n"/>
      <c r="H387" s="302" t="n"/>
      <c r="I387" s="303" t="n"/>
      <c r="J387" s="304">
        <f>G387+H387+I387</f>
        <v/>
      </c>
      <c r="K387" s="304">
        <f>J387/E387</f>
        <v/>
      </c>
      <c r="L387" s="304">
        <f>J387/F387</f>
        <v/>
      </c>
      <c r="M387" s="158" t="n"/>
    </row>
    <row r="388" ht="15" customHeight="1" s="272">
      <c r="A388" s="287" t="n"/>
      <c r="B388" s="298" t="n"/>
      <c r="C388" s="298" t="n"/>
      <c r="D388" s="208" t="inlineStr">
        <is>
          <t>2月</t>
        </is>
      </c>
      <c r="E388" s="299" t="n"/>
      <c r="F388" s="300" t="n"/>
      <c r="G388" s="301" t="n"/>
      <c r="H388" s="302" t="n"/>
      <c r="I388" s="303" t="n"/>
      <c r="J388" s="304">
        <f>G388+H388+I388</f>
        <v/>
      </c>
      <c r="K388" s="304">
        <f>J388/E388</f>
        <v/>
      </c>
      <c r="L388" s="304">
        <f>J388/F388</f>
        <v/>
      </c>
      <c r="M388" s="158" t="n"/>
    </row>
    <row r="389" ht="15" customHeight="1" s="272">
      <c r="A389" s="290" t="n"/>
      <c r="B389" s="305" t="n"/>
      <c r="C389" s="305" t="n"/>
      <c r="D389" s="211" t="inlineStr">
        <is>
          <t>3月</t>
        </is>
      </c>
      <c r="E389" s="306" t="n"/>
      <c r="F389" s="307" t="n"/>
      <c r="G389" s="308" t="n"/>
      <c r="H389" s="309" t="n"/>
      <c r="I389" s="310" t="n"/>
      <c r="J389" s="311">
        <f>G389+H389+I389</f>
        <v/>
      </c>
      <c r="K389" s="311">
        <f>J389/E389</f>
        <v/>
      </c>
      <c r="L389" s="311">
        <f>J389/F389</f>
        <v/>
      </c>
      <c r="M389" s="165" t="n"/>
    </row>
    <row r="390" ht="15" customHeight="1" s="272">
      <c r="A390" s="291" t="n">
        <v>33</v>
      </c>
      <c r="B390" s="168" t="n"/>
      <c r="C390" s="168" t="n"/>
      <c r="D390" s="205" t="inlineStr">
        <is>
          <t>4月</t>
        </is>
      </c>
      <c r="E390" s="292" t="n"/>
      <c r="F390" s="293" t="n"/>
      <c r="G390" s="294" t="n"/>
      <c r="H390" s="295" t="n"/>
      <c r="I390" s="296" t="n"/>
      <c r="J390" s="297">
        <f>G390+H390+I390</f>
        <v/>
      </c>
      <c r="K390" s="297">
        <f>J390/E390</f>
        <v/>
      </c>
      <c r="L390" s="297">
        <f>J390/F390</f>
        <v/>
      </c>
      <c r="M390" s="151" t="n"/>
    </row>
    <row r="391" ht="15" customHeight="1" s="272">
      <c r="A391" s="287" t="n"/>
      <c r="B391" s="298" t="n"/>
      <c r="C391" s="298" t="n"/>
      <c r="D391" s="208" t="inlineStr">
        <is>
          <t>5月</t>
        </is>
      </c>
      <c r="E391" s="299" t="n"/>
      <c r="F391" s="300" t="n"/>
      <c r="G391" s="301" t="n"/>
      <c r="H391" s="302" t="n"/>
      <c r="I391" s="303" t="n"/>
      <c r="J391" s="304">
        <f>G391+H391+I391</f>
        <v/>
      </c>
      <c r="K391" s="304">
        <f>J391/E391</f>
        <v/>
      </c>
      <c r="L391" s="304">
        <f>J391/F391</f>
        <v/>
      </c>
      <c r="M391" s="158" t="n"/>
    </row>
    <row r="392" ht="15" customHeight="1" s="272">
      <c r="A392" s="287" t="n"/>
      <c r="B392" s="298" t="n"/>
      <c r="C392" s="298" t="n"/>
      <c r="D392" s="208" t="inlineStr">
        <is>
          <t>6月</t>
        </is>
      </c>
      <c r="E392" s="299" t="n"/>
      <c r="F392" s="300" t="n"/>
      <c r="G392" s="301" t="n"/>
      <c r="H392" s="302" t="n"/>
      <c r="I392" s="303" t="n"/>
      <c r="J392" s="304">
        <f>G392+H392+I392</f>
        <v/>
      </c>
      <c r="K392" s="304">
        <f>J392/E392</f>
        <v/>
      </c>
      <c r="L392" s="304">
        <f>J392/F392</f>
        <v/>
      </c>
      <c r="M392" s="158" t="n"/>
    </row>
    <row r="393" ht="15" customHeight="1" s="272">
      <c r="A393" s="287" t="n"/>
      <c r="B393" s="298" t="n"/>
      <c r="C393" s="298" t="n"/>
      <c r="D393" s="208" t="inlineStr">
        <is>
          <t>7月</t>
        </is>
      </c>
      <c r="E393" s="299" t="n"/>
      <c r="F393" s="300" t="n"/>
      <c r="G393" s="301" t="n"/>
      <c r="H393" s="302" t="n"/>
      <c r="I393" s="303" t="n"/>
      <c r="J393" s="304">
        <f>G393+H393+I393</f>
        <v/>
      </c>
      <c r="K393" s="304">
        <f>J393/E393</f>
        <v/>
      </c>
      <c r="L393" s="304">
        <f>J393/F393</f>
        <v/>
      </c>
      <c r="M393" s="158" t="n"/>
    </row>
    <row r="394" ht="15" customHeight="1" s="272">
      <c r="A394" s="287" t="n"/>
      <c r="B394" s="298" t="n"/>
      <c r="C394" s="298" t="n"/>
      <c r="D394" s="208" t="inlineStr">
        <is>
          <t>8月</t>
        </is>
      </c>
      <c r="E394" s="299" t="n"/>
      <c r="F394" s="300" t="n"/>
      <c r="G394" s="301" t="n"/>
      <c r="H394" s="302" t="n"/>
      <c r="I394" s="303" t="n"/>
      <c r="J394" s="304">
        <f>G394+H394+I394</f>
        <v/>
      </c>
      <c r="K394" s="304">
        <f>J394/E394</f>
        <v/>
      </c>
      <c r="L394" s="304">
        <f>J394/F394</f>
        <v/>
      </c>
      <c r="M394" s="158" t="n"/>
    </row>
    <row r="395" ht="15" customHeight="1" s="272">
      <c r="A395" s="287" t="n"/>
      <c r="B395" s="298" t="n"/>
      <c r="C395" s="298" t="n"/>
      <c r="D395" s="208" t="inlineStr">
        <is>
          <t>9月</t>
        </is>
      </c>
      <c r="E395" s="299" t="n"/>
      <c r="F395" s="300" t="n"/>
      <c r="G395" s="301" t="n"/>
      <c r="H395" s="302" t="n"/>
      <c r="I395" s="303" t="n"/>
      <c r="J395" s="304">
        <f>G395+H395+I395</f>
        <v/>
      </c>
      <c r="K395" s="304">
        <f>J395/E395</f>
        <v/>
      </c>
      <c r="L395" s="304">
        <f>J395/F395</f>
        <v/>
      </c>
      <c r="M395" s="158" t="n"/>
    </row>
    <row r="396" ht="15" customHeight="1" s="272">
      <c r="A396" s="287" t="n"/>
      <c r="B396" s="298" t="n"/>
      <c r="C396" s="298" t="n"/>
      <c r="D396" s="208" t="inlineStr">
        <is>
          <t>10月</t>
        </is>
      </c>
      <c r="E396" s="299" t="n"/>
      <c r="F396" s="300" t="n"/>
      <c r="G396" s="301" t="n"/>
      <c r="H396" s="302" t="n"/>
      <c r="I396" s="303" t="n"/>
      <c r="J396" s="304">
        <f>G396+H396+I396</f>
        <v/>
      </c>
      <c r="K396" s="304">
        <f>J396/E396</f>
        <v/>
      </c>
      <c r="L396" s="304">
        <f>J396/F396</f>
        <v/>
      </c>
      <c r="M396" s="158" t="n"/>
    </row>
    <row r="397" ht="15" customHeight="1" s="272">
      <c r="A397" s="287" t="n"/>
      <c r="B397" s="298" t="n"/>
      <c r="C397" s="298" t="n"/>
      <c r="D397" s="208" t="inlineStr">
        <is>
          <t>11月</t>
        </is>
      </c>
      <c r="E397" s="299" t="n"/>
      <c r="F397" s="300" t="n"/>
      <c r="G397" s="301" t="n"/>
      <c r="H397" s="302" t="n"/>
      <c r="I397" s="303" t="n"/>
      <c r="J397" s="304">
        <f>G397+H397+I397</f>
        <v/>
      </c>
      <c r="K397" s="304">
        <f>J397/E397</f>
        <v/>
      </c>
      <c r="L397" s="304">
        <f>J397/F397</f>
        <v/>
      </c>
      <c r="M397" s="158" t="n"/>
    </row>
    <row r="398" ht="15" customHeight="1" s="272">
      <c r="A398" s="287" t="n"/>
      <c r="B398" s="298" t="n"/>
      <c r="C398" s="298" t="n"/>
      <c r="D398" s="208" t="inlineStr">
        <is>
          <t>12月</t>
        </is>
      </c>
      <c r="E398" s="299" t="n"/>
      <c r="F398" s="300" t="n"/>
      <c r="G398" s="301" t="n"/>
      <c r="H398" s="302" t="n"/>
      <c r="I398" s="303" t="n"/>
      <c r="J398" s="304">
        <f>G398+H398+I398</f>
        <v/>
      </c>
      <c r="K398" s="304">
        <f>J398/E398</f>
        <v/>
      </c>
      <c r="L398" s="304">
        <f>J398/F398</f>
        <v/>
      </c>
      <c r="M398" s="158" t="n"/>
    </row>
    <row r="399" ht="15" customHeight="1" s="272">
      <c r="A399" s="287" t="n"/>
      <c r="B399" s="298" t="n"/>
      <c r="C399" s="298" t="n"/>
      <c r="D399" s="208" t="inlineStr">
        <is>
          <t>1月</t>
        </is>
      </c>
      <c r="E399" s="299" t="n"/>
      <c r="F399" s="300" t="n"/>
      <c r="G399" s="301" t="n"/>
      <c r="H399" s="302" t="n"/>
      <c r="I399" s="303" t="n"/>
      <c r="J399" s="304">
        <f>G399+H399+I399</f>
        <v/>
      </c>
      <c r="K399" s="304">
        <f>J399/E399</f>
        <v/>
      </c>
      <c r="L399" s="304">
        <f>J399/F399</f>
        <v/>
      </c>
      <c r="M399" s="158" t="n"/>
    </row>
    <row r="400" ht="15" customHeight="1" s="272">
      <c r="A400" s="287" t="n"/>
      <c r="B400" s="298" t="n"/>
      <c r="C400" s="298" t="n"/>
      <c r="D400" s="208" t="inlineStr">
        <is>
          <t>2月</t>
        </is>
      </c>
      <c r="E400" s="299" t="n"/>
      <c r="F400" s="300" t="n"/>
      <c r="G400" s="301" t="n"/>
      <c r="H400" s="302" t="n"/>
      <c r="I400" s="303" t="n"/>
      <c r="J400" s="304">
        <f>G400+H400+I400</f>
        <v/>
      </c>
      <c r="K400" s="304">
        <f>J400/E400</f>
        <v/>
      </c>
      <c r="L400" s="304">
        <f>J400/F400</f>
        <v/>
      </c>
      <c r="M400" s="158" t="n"/>
    </row>
    <row r="401" ht="15" customHeight="1" s="272">
      <c r="A401" s="290" t="n"/>
      <c r="B401" s="305" t="n"/>
      <c r="C401" s="305" t="n"/>
      <c r="D401" s="211" t="inlineStr">
        <is>
          <t>3月</t>
        </is>
      </c>
      <c r="E401" s="306" t="n"/>
      <c r="F401" s="307" t="n"/>
      <c r="G401" s="308" t="n"/>
      <c r="H401" s="309" t="n"/>
      <c r="I401" s="310" t="n"/>
      <c r="J401" s="311">
        <f>G401+H401+I401</f>
        <v/>
      </c>
      <c r="K401" s="311">
        <f>J401/E401</f>
        <v/>
      </c>
      <c r="L401" s="311">
        <f>J401/F401</f>
        <v/>
      </c>
      <c r="M401" s="165" t="n"/>
    </row>
    <row r="402" ht="15" customHeight="1" s="272">
      <c r="A402" s="291" t="n">
        <v>34</v>
      </c>
      <c r="B402" s="168" t="n"/>
      <c r="C402" s="168" t="n"/>
      <c r="D402" s="205" t="inlineStr">
        <is>
          <t>4月</t>
        </is>
      </c>
      <c r="E402" s="292" t="n"/>
      <c r="F402" s="293" t="n"/>
      <c r="G402" s="294" t="n"/>
      <c r="H402" s="295" t="n"/>
      <c r="I402" s="296" t="n"/>
      <c r="J402" s="297">
        <f>G402+H402+I402</f>
        <v/>
      </c>
      <c r="K402" s="297">
        <f>J402/E402</f>
        <v/>
      </c>
      <c r="L402" s="297">
        <f>J402/F402</f>
        <v/>
      </c>
      <c r="M402" s="151" t="n"/>
    </row>
    <row r="403" ht="15" customHeight="1" s="272">
      <c r="A403" s="287" t="n"/>
      <c r="B403" s="298" t="n"/>
      <c r="C403" s="298" t="n"/>
      <c r="D403" s="208" t="inlineStr">
        <is>
          <t>5月</t>
        </is>
      </c>
      <c r="E403" s="299" t="n"/>
      <c r="F403" s="300" t="n"/>
      <c r="G403" s="301" t="n"/>
      <c r="H403" s="302" t="n"/>
      <c r="I403" s="303" t="n"/>
      <c r="J403" s="304">
        <f>G403+H403+I403</f>
        <v/>
      </c>
      <c r="K403" s="304">
        <f>J403/E403</f>
        <v/>
      </c>
      <c r="L403" s="304">
        <f>J403/F403</f>
        <v/>
      </c>
      <c r="M403" s="158" t="n"/>
    </row>
    <row r="404" ht="15" customHeight="1" s="272">
      <c r="A404" s="287" t="n"/>
      <c r="B404" s="298" t="n"/>
      <c r="C404" s="298" t="n"/>
      <c r="D404" s="208" t="inlineStr">
        <is>
          <t>6月</t>
        </is>
      </c>
      <c r="E404" s="299" t="n"/>
      <c r="F404" s="300" t="n"/>
      <c r="G404" s="301" t="n"/>
      <c r="H404" s="302" t="n"/>
      <c r="I404" s="303" t="n"/>
      <c r="J404" s="304">
        <f>G404+H404+I404</f>
        <v/>
      </c>
      <c r="K404" s="304">
        <f>J404/E404</f>
        <v/>
      </c>
      <c r="L404" s="304">
        <f>J404/F404</f>
        <v/>
      </c>
      <c r="M404" s="158" t="n"/>
    </row>
    <row r="405" ht="15" customHeight="1" s="272">
      <c r="A405" s="287" t="n"/>
      <c r="B405" s="298" t="n"/>
      <c r="C405" s="298" t="n"/>
      <c r="D405" s="208" t="inlineStr">
        <is>
          <t>7月</t>
        </is>
      </c>
      <c r="E405" s="299" t="n"/>
      <c r="F405" s="300" t="n"/>
      <c r="G405" s="301" t="n"/>
      <c r="H405" s="302" t="n"/>
      <c r="I405" s="303" t="n"/>
      <c r="J405" s="304">
        <f>G405+H405+I405</f>
        <v/>
      </c>
      <c r="K405" s="304">
        <f>J405/E405</f>
        <v/>
      </c>
      <c r="L405" s="304">
        <f>J405/F405</f>
        <v/>
      </c>
      <c r="M405" s="158" t="n"/>
    </row>
    <row r="406" ht="15" customHeight="1" s="272">
      <c r="A406" s="287" t="n"/>
      <c r="B406" s="298" t="n"/>
      <c r="C406" s="298" t="n"/>
      <c r="D406" s="208" t="inlineStr">
        <is>
          <t>8月</t>
        </is>
      </c>
      <c r="E406" s="299" t="n"/>
      <c r="F406" s="300" t="n"/>
      <c r="G406" s="301" t="n"/>
      <c r="H406" s="302" t="n"/>
      <c r="I406" s="303" t="n"/>
      <c r="J406" s="304">
        <f>G406+H406+I406</f>
        <v/>
      </c>
      <c r="K406" s="304">
        <f>J406/E406</f>
        <v/>
      </c>
      <c r="L406" s="304">
        <f>J406/F406</f>
        <v/>
      </c>
      <c r="M406" s="158" t="n"/>
    </row>
    <row r="407" ht="15" customHeight="1" s="272">
      <c r="A407" s="287" t="n"/>
      <c r="B407" s="298" t="n"/>
      <c r="C407" s="298" t="n"/>
      <c r="D407" s="208" t="inlineStr">
        <is>
          <t>9月</t>
        </is>
      </c>
      <c r="E407" s="299" t="n"/>
      <c r="F407" s="300" t="n"/>
      <c r="G407" s="301" t="n"/>
      <c r="H407" s="302" t="n"/>
      <c r="I407" s="303" t="n"/>
      <c r="J407" s="304">
        <f>G407+H407+I407</f>
        <v/>
      </c>
      <c r="K407" s="304">
        <f>J407/E407</f>
        <v/>
      </c>
      <c r="L407" s="304">
        <f>J407/F407</f>
        <v/>
      </c>
      <c r="M407" s="158" t="n"/>
    </row>
    <row r="408" ht="15" customHeight="1" s="272">
      <c r="A408" s="287" t="n"/>
      <c r="B408" s="298" t="n"/>
      <c r="C408" s="298" t="n"/>
      <c r="D408" s="208" t="inlineStr">
        <is>
          <t>10月</t>
        </is>
      </c>
      <c r="E408" s="299" t="n"/>
      <c r="F408" s="300" t="n"/>
      <c r="G408" s="301" t="n"/>
      <c r="H408" s="302" t="n"/>
      <c r="I408" s="303" t="n"/>
      <c r="J408" s="304">
        <f>G408+H408+I408</f>
        <v/>
      </c>
      <c r="K408" s="304">
        <f>J408/E408</f>
        <v/>
      </c>
      <c r="L408" s="304">
        <f>J408/F408</f>
        <v/>
      </c>
      <c r="M408" s="158" t="n"/>
    </row>
    <row r="409" ht="15" customHeight="1" s="272">
      <c r="A409" s="287" t="n"/>
      <c r="B409" s="298" t="n"/>
      <c r="C409" s="298" t="n"/>
      <c r="D409" s="208" t="inlineStr">
        <is>
          <t>11月</t>
        </is>
      </c>
      <c r="E409" s="299" t="n"/>
      <c r="F409" s="300" t="n"/>
      <c r="G409" s="301" t="n"/>
      <c r="H409" s="302" t="n"/>
      <c r="I409" s="303" t="n"/>
      <c r="J409" s="304">
        <f>G409+H409+I409</f>
        <v/>
      </c>
      <c r="K409" s="304">
        <f>J409/E409</f>
        <v/>
      </c>
      <c r="L409" s="304">
        <f>J409/F409</f>
        <v/>
      </c>
      <c r="M409" s="158" t="n"/>
    </row>
    <row r="410" ht="15" customHeight="1" s="272">
      <c r="A410" s="287" t="n"/>
      <c r="B410" s="298" t="n"/>
      <c r="C410" s="298" t="n"/>
      <c r="D410" s="208" t="inlineStr">
        <is>
          <t>12月</t>
        </is>
      </c>
      <c r="E410" s="299" t="n"/>
      <c r="F410" s="300" t="n"/>
      <c r="G410" s="301" t="n"/>
      <c r="H410" s="302" t="n"/>
      <c r="I410" s="303" t="n"/>
      <c r="J410" s="304">
        <f>G410+H410+I410</f>
        <v/>
      </c>
      <c r="K410" s="304">
        <f>J410/E410</f>
        <v/>
      </c>
      <c r="L410" s="304">
        <f>J410/F410</f>
        <v/>
      </c>
      <c r="M410" s="158" t="n"/>
    </row>
    <row r="411" ht="15" customHeight="1" s="272">
      <c r="A411" s="287" t="n"/>
      <c r="B411" s="298" t="n"/>
      <c r="C411" s="298" t="n"/>
      <c r="D411" s="208" t="inlineStr">
        <is>
          <t>1月</t>
        </is>
      </c>
      <c r="E411" s="299" t="n"/>
      <c r="F411" s="300" t="n"/>
      <c r="G411" s="301" t="n"/>
      <c r="H411" s="302" t="n"/>
      <c r="I411" s="303" t="n"/>
      <c r="J411" s="304">
        <f>G411+H411+I411</f>
        <v/>
      </c>
      <c r="K411" s="304">
        <f>J411/E411</f>
        <v/>
      </c>
      <c r="L411" s="304">
        <f>J411/F411</f>
        <v/>
      </c>
      <c r="M411" s="158" t="n"/>
    </row>
    <row r="412" ht="15" customHeight="1" s="272">
      <c r="A412" s="287" t="n"/>
      <c r="B412" s="298" t="n"/>
      <c r="C412" s="298" t="n"/>
      <c r="D412" s="208" t="inlineStr">
        <is>
          <t>2月</t>
        </is>
      </c>
      <c r="E412" s="299" t="n"/>
      <c r="F412" s="300" t="n"/>
      <c r="G412" s="301" t="n"/>
      <c r="H412" s="302" t="n"/>
      <c r="I412" s="303" t="n"/>
      <c r="J412" s="304">
        <f>G412+H412+I412</f>
        <v/>
      </c>
      <c r="K412" s="304">
        <f>J412/E412</f>
        <v/>
      </c>
      <c r="L412" s="304">
        <f>J412/F412</f>
        <v/>
      </c>
      <c r="M412" s="158" t="n"/>
    </row>
    <row r="413" ht="15" customHeight="1" s="272">
      <c r="A413" s="290" t="n"/>
      <c r="B413" s="305" t="n"/>
      <c r="C413" s="305" t="n"/>
      <c r="D413" s="211" t="inlineStr">
        <is>
          <t>3月</t>
        </is>
      </c>
      <c r="E413" s="306" t="n"/>
      <c r="F413" s="307" t="n"/>
      <c r="G413" s="308" t="n"/>
      <c r="H413" s="309" t="n"/>
      <c r="I413" s="310" t="n"/>
      <c r="J413" s="311">
        <f>G413+H413+I413</f>
        <v/>
      </c>
      <c r="K413" s="311">
        <f>J413/E413</f>
        <v/>
      </c>
      <c r="L413" s="311">
        <f>J413/F413</f>
        <v/>
      </c>
      <c r="M413" s="165" t="n"/>
    </row>
    <row r="414" ht="15" customHeight="1" s="272">
      <c r="A414" s="291" t="n">
        <v>35</v>
      </c>
      <c r="B414" s="168" t="n"/>
      <c r="C414" s="168" t="n"/>
      <c r="D414" s="205" t="inlineStr">
        <is>
          <t>4月</t>
        </is>
      </c>
      <c r="E414" s="292" t="n"/>
      <c r="F414" s="293" t="n"/>
      <c r="G414" s="294" t="n"/>
      <c r="H414" s="295" t="n"/>
      <c r="I414" s="296" t="n"/>
      <c r="J414" s="297">
        <f>G414+H414+I414</f>
        <v/>
      </c>
      <c r="K414" s="297">
        <f>J414/E414</f>
        <v/>
      </c>
      <c r="L414" s="297">
        <f>J414/F414</f>
        <v/>
      </c>
      <c r="M414" s="151" t="n"/>
    </row>
    <row r="415" ht="15" customHeight="1" s="272">
      <c r="A415" s="287" t="n"/>
      <c r="B415" s="298" t="n"/>
      <c r="C415" s="298" t="n"/>
      <c r="D415" s="208" t="inlineStr">
        <is>
          <t>5月</t>
        </is>
      </c>
      <c r="E415" s="299" t="n"/>
      <c r="F415" s="300" t="n"/>
      <c r="G415" s="301" t="n"/>
      <c r="H415" s="302" t="n"/>
      <c r="I415" s="303" t="n"/>
      <c r="J415" s="304">
        <f>G415+H415+I415</f>
        <v/>
      </c>
      <c r="K415" s="304">
        <f>J415/E415</f>
        <v/>
      </c>
      <c r="L415" s="304">
        <f>J415/F415</f>
        <v/>
      </c>
      <c r="M415" s="158" t="n"/>
    </row>
    <row r="416" ht="15" customHeight="1" s="272">
      <c r="A416" s="287" t="n"/>
      <c r="B416" s="298" t="n"/>
      <c r="C416" s="298" t="n"/>
      <c r="D416" s="208" t="inlineStr">
        <is>
          <t>6月</t>
        </is>
      </c>
      <c r="E416" s="299" t="n"/>
      <c r="F416" s="300" t="n"/>
      <c r="G416" s="301" t="n"/>
      <c r="H416" s="302" t="n"/>
      <c r="I416" s="303" t="n"/>
      <c r="J416" s="304">
        <f>G416+H416+I416</f>
        <v/>
      </c>
      <c r="K416" s="304">
        <f>J416/E416</f>
        <v/>
      </c>
      <c r="L416" s="304">
        <f>J416/F416</f>
        <v/>
      </c>
      <c r="M416" s="158" t="n"/>
    </row>
    <row r="417" ht="15" customHeight="1" s="272">
      <c r="A417" s="287" t="n"/>
      <c r="B417" s="298" t="n"/>
      <c r="C417" s="298" t="n"/>
      <c r="D417" s="208" t="inlineStr">
        <is>
          <t>7月</t>
        </is>
      </c>
      <c r="E417" s="299" t="n"/>
      <c r="F417" s="300" t="n"/>
      <c r="G417" s="301" t="n"/>
      <c r="H417" s="302" t="n"/>
      <c r="I417" s="303" t="n"/>
      <c r="J417" s="304">
        <f>G417+H417+I417</f>
        <v/>
      </c>
      <c r="K417" s="304">
        <f>J417/E417</f>
        <v/>
      </c>
      <c r="L417" s="304">
        <f>J417/F417</f>
        <v/>
      </c>
      <c r="M417" s="158" t="n"/>
    </row>
    <row r="418" ht="15" customHeight="1" s="272">
      <c r="A418" s="287" t="n"/>
      <c r="B418" s="298" t="n"/>
      <c r="C418" s="298" t="n"/>
      <c r="D418" s="208" t="inlineStr">
        <is>
          <t>8月</t>
        </is>
      </c>
      <c r="E418" s="299" t="n"/>
      <c r="F418" s="300" t="n"/>
      <c r="G418" s="301" t="n"/>
      <c r="H418" s="302" t="n"/>
      <c r="I418" s="303" t="n"/>
      <c r="J418" s="304">
        <f>G418+H418+I418</f>
        <v/>
      </c>
      <c r="K418" s="304">
        <f>J418/E418</f>
        <v/>
      </c>
      <c r="L418" s="304">
        <f>J418/F418</f>
        <v/>
      </c>
      <c r="M418" s="158" t="n"/>
    </row>
    <row r="419" ht="15" customHeight="1" s="272">
      <c r="A419" s="287" t="n"/>
      <c r="B419" s="298" t="n"/>
      <c r="C419" s="298" t="n"/>
      <c r="D419" s="208" t="inlineStr">
        <is>
          <t>9月</t>
        </is>
      </c>
      <c r="E419" s="299" t="n"/>
      <c r="F419" s="300" t="n"/>
      <c r="G419" s="301" t="n"/>
      <c r="H419" s="302" t="n"/>
      <c r="I419" s="303" t="n"/>
      <c r="J419" s="304">
        <f>G419+H419+I419</f>
        <v/>
      </c>
      <c r="K419" s="304">
        <f>J419/E419</f>
        <v/>
      </c>
      <c r="L419" s="304">
        <f>J419/F419</f>
        <v/>
      </c>
      <c r="M419" s="158" t="n"/>
    </row>
    <row r="420" ht="15" customHeight="1" s="272">
      <c r="A420" s="287" t="n"/>
      <c r="B420" s="298" t="n"/>
      <c r="C420" s="298" t="n"/>
      <c r="D420" s="208" t="inlineStr">
        <is>
          <t>10月</t>
        </is>
      </c>
      <c r="E420" s="299" t="n"/>
      <c r="F420" s="300" t="n"/>
      <c r="G420" s="301" t="n"/>
      <c r="H420" s="302" t="n"/>
      <c r="I420" s="303" t="n"/>
      <c r="J420" s="304">
        <f>G420+H420+I420</f>
        <v/>
      </c>
      <c r="K420" s="304">
        <f>J420/E420</f>
        <v/>
      </c>
      <c r="L420" s="304">
        <f>J420/F420</f>
        <v/>
      </c>
      <c r="M420" s="158" t="n"/>
    </row>
    <row r="421" ht="15" customHeight="1" s="272">
      <c r="A421" s="287" t="n"/>
      <c r="B421" s="298" t="n"/>
      <c r="C421" s="298" t="n"/>
      <c r="D421" s="208" t="inlineStr">
        <is>
          <t>11月</t>
        </is>
      </c>
      <c r="E421" s="299" t="n"/>
      <c r="F421" s="300" t="n"/>
      <c r="G421" s="301" t="n"/>
      <c r="H421" s="302" t="n"/>
      <c r="I421" s="303" t="n"/>
      <c r="J421" s="304">
        <f>G421+H421+I421</f>
        <v/>
      </c>
      <c r="K421" s="304">
        <f>J421/E421</f>
        <v/>
      </c>
      <c r="L421" s="304">
        <f>J421/F421</f>
        <v/>
      </c>
      <c r="M421" s="158" t="n"/>
    </row>
    <row r="422" ht="15" customHeight="1" s="272">
      <c r="A422" s="287" t="n"/>
      <c r="B422" s="298" t="n"/>
      <c r="C422" s="298" t="n"/>
      <c r="D422" s="208" t="inlineStr">
        <is>
          <t>12月</t>
        </is>
      </c>
      <c r="E422" s="299" t="n"/>
      <c r="F422" s="300" t="n"/>
      <c r="G422" s="301" t="n"/>
      <c r="H422" s="302" t="n"/>
      <c r="I422" s="303" t="n"/>
      <c r="J422" s="304">
        <f>G422+H422+I422</f>
        <v/>
      </c>
      <c r="K422" s="304">
        <f>J422/E422</f>
        <v/>
      </c>
      <c r="L422" s="304">
        <f>J422/F422</f>
        <v/>
      </c>
      <c r="M422" s="158" t="n"/>
    </row>
    <row r="423" ht="15" customHeight="1" s="272">
      <c r="A423" s="287" t="n"/>
      <c r="B423" s="298" t="n"/>
      <c r="C423" s="298" t="n"/>
      <c r="D423" s="208" t="inlineStr">
        <is>
          <t>1月</t>
        </is>
      </c>
      <c r="E423" s="299" t="n"/>
      <c r="F423" s="300" t="n"/>
      <c r="G423" s="301" t="n"/>
      <c r="H423" s="302" t="n"/>
      <c r="I423" s="303" t="n"/>
      <c r="J423" s="304">
        <f>G423+H423+I423</f>
        <v/>
      </c>
      <c r="K423" s="304">
        <f>J423/E423</f>
        <v/>
      </c>
      <c r="L423" s="304">
        <f>J423/F423</f>
        <v/>
      </c>
      <c r="M423" s="158" t="n"/>
    </row>
    <row r="424" ht="15" customHeight="1" s="272">
      <c r="A424" s="287" t="n"/>
      <c r="B424" s="298" t="n"/>
      <c r="C424" s="298" t="n"/>
      <c r="D424" s="208" t="inlineStr">
        <is>
          <t>2月</t>
        </is>
      </c>
      <c r="E424" s="299" t="n"/>
      <c r="F424" s="300" t="n"/>
      <c r="G424" s="301" t="n"/>
      <c r="H424" s="302" t="n"/>
      <c r="I424" s="303" t="n"/>
      <c r="J424" s="304">
        <f>G424+H424+I424</f>
        <v/>
      </c>
      <c r="K424" s="304">
        <f>J424/E424</f>
        <v/>
      </c>
      <c r="L424" s="304">
        <f>J424/F424</f>
        <v/>
      </c>
      <c r="M424" s="158" t="n"/>
    </row>
    <row r="425" ht="15" customHeight="1" s="272">
      <c r="A425" s="290" t="n"/>
      <c r="B425" s="305" t="n"/>
      <c r="C425" s="305" t="n"/>
      <c r="D425" s="211" t="inlineStr">
        <is>
          <t>3月</t>
        </is>
      </c>
      <c r="E425" s="306" t="n"/>
      <c r="F425" s="307" t="n"/>
      <c r="G425" s="308" t="n"/>
      <c r="H425" s="309" t="n"/>
      <c r="I425" s="310" t="n"/>
      <c r="J425" s="311">
        <f>G425+H425+I425</f>
        <v/>
      </c>
      <c r="K425" s="311">
        <f>J425/E425</f>
        <v/>
      </c>
      <c r="L425" s="311">
        <f>J425/F425</f>
        <v/>
      </c>
      <c r="M425" s="165" t="n"/>
    </row>
    <row r="426" ht="15" customHeight="1" s="272">
      <c r="A426" s="291" t="n">
        <v>36</v>
      </c>
      <c r="B426" s="168" t="n"/>
      <c r="C426" s="168" t="n"/>
      <c r="D426" s="205" t="inlineStr">
        <is>
          <t>4月</t>
        </is>
      </c>
      <c r="E426" s="292" t="n"/>
      <c r="F426" s="293" t="n"/>
      <c r="G426" s="294" t="n"/>
      <c r="H426" s="295" t="n"/>
      <c r="I426" s="296" t="n"/>
      <c r="J426" s="297">
        <f>G426+H426+I426</f>
        <v/>
      </c>
      <c r="K426" s="297">
        <f>J426/E426</f>
        <v/>
      </c>
      <c r="L426" s="297">
        <f>J426/F426</f>
        <v/>
      </c>
      <c r="M426" s="151" t="n"/>
    </row>
    <row r="427" ht="15" customHeight="1" s="272">
      <c r="A427" s="287" t="n"/>
      <c r="B427" s="298" t="n"/>
      <c r="C427" s="298" t="n"/>
      <c r="D427" s="208" t="inlineStr">
        <is>
          <t>5月</t>
        </is>
      </c>
      <c r="E427" s="299" t="n"/>
      <c r="F427" s="300" t="n"/>
      <c r="G427" s="301" t="n"/>
      <c r="H427" s="302" t="n"/>
      <c r="I427" s="303" t="n"/>
      <c r="J427" s="304">
        <f>G427+H427+I427</f>
        <v/>
      </c>
      <c r="K427" s="304">
        <f>J427/E427</f>
        <v/>
      </c>
      <c r="L427" s="304">
        <f>J427/F427</f>
        <v/>
      </c>
      <c r="M427" s="158" t="n"/>
    </row>
    <row r="428" ht="15" customHeight="1" s="272">
      <c r="A428" s="287" t="n"/>
      <c r="B428" s="298" t="n"/>
      <c r="C428" s="298" t="n"/>
      <c r="D428" s="208" t="inlineStr">
        <is>
          <t>6月</t>
        </is>
      </c>
      <c r="E428" s="299" t="n"/>
      <c r="F428" s="300" t="n"/>
      <c r="G428" s="301" t="n"/>
      <c r="H428" s="302" t="n"/>
      <c r="I428" s="303" t="n"/>
      <c r="J428" s="304">
        <f>G428+H428+I428</f>
        <v/>
      </c>
      <c r="K428" s="304">
        <f>J428/E428</f>
        <v/>
      </c>
      <c r="L428" s="304">
        <f>J428/F428</f>
        <v/>
      </c>
      <c r="M428" s="158" t="n"/>
    </row>
    <row r="429" ht="15" customHeight="1" s="272">
      <c r="A429" s="287" t="n"/>
      <c r="B429" s="298" t="n"/>
      <c r="C429" s="298" t="n"/>
      <c r="D429" s="208" t="inlineStr">
        <is>
          <t>7月</t>
        </is>
      </c>
      <c r="E429" s="299" t="n"/>
      <c r="F429" s="300" t="n"/>
      <c r="G429" s="301" t="n"/>
      <c r="H429" s="302" t="n"/>
      <c r="I429" s="303" t="n"/>
      <c r="J429" s="304">
        <f>G429+H429+I429</f>
        <v/>
      </c>
      <c r="K429" s="304">
        <f>J429/E429</f>
        <v/>
      </c>
      <c r="L429" s="304">
        <f>J429/F429</f>
        <v/>
      </c>
      <c r="M429" s="158" t="n"/>
    </row>
    <row r="430" ht="15" customHeight="1" s="272">
      <c r="A430" s="287" t="n"/>
      <c r="B430" s="298" t="n"/>
      <c r="C430" s="298" t="n"/>
      <c r="D430" s="208" t="inlineStr">
        <is>
          <t>8月</t>
        </is>
      </c>
      <c r="E430" s="299" t="n"/>
      <c r="F430" s="300" t="n"/>
      <c r="G430" s="301" t="n"/>
      <c r="H430" s="302" t="n"/>
      <c r="I430" s="303" t="n"/>
      <c r="J430" s="304">
        <f>G430+H430+I430</f>
        <v/>
      </c>
      <c r="K430" s="304">
        <f>J430/E430</f>
        <v/>
      </c>
      <c r="L430" s="304">
        <f>J430/F430</f>
        <v/>
      </c>
      <c r="M430" s="158" t="n"/>
    </row>
    <row r="431" ht="15" customHeight="1" s="272">
      <c r="A431" s="287" t="n"/>
      <c r="B431" s="298" t="n"/>
      <c r="C431" s="298" t="n"/>
      <c r="D431" s="208" t="inlineStr">
        <is>
          <t>9月</t>
        </is>
      </c>
      <c r="E431" s="299" t="n"/>
      <c r="F431" s="300" t="n"/>
      <c r="G431" s="301" t="n"/>
      <c r="H431" s="302" t="n"/>
      <c r="I431" s="303" t="n"/>
      <c r="J431" s="304">
        <f>G431+H431+I431</f>
        <v/>
      </c>
      <c r="K431" s="304">
        <f>J431/E431</f>
        <v/>
      </c>
      <c r="L431" s="304">
        <f>J431/F431</f>
        <v/>
      </c>
      <c r="M431" s="158" t="n"/>
    </row>
    <row r="432" ht="15" customHeight="1" s="272">
      <c r="A432" s="287" t="n"/>
      <c r="B432" s="298" t="n"/>
      <c r="C432" s="298" t="n"/>
      <c r="D432" s="208" t="inlineStr">
        <is>
          <t>10月</t>
        </is>
      </c>
      <c r="E432" s="299" t="n"/>
      <c r="F432" s="300" t="n"/>
      <c r="G432" s="301" t="n"/>
      <c r="H432" s="302" t="n"/>
      <c r="I432" s="303" t="n"/>
      <c r="J432" s="304">
        <f>G432+H432+I432</f>
        <v/>
      </c>
      <c r="K432" s="304">
        <f>J432/E432</f>
        <v/>
      </c>
      <c r="L432" s="304">
        <f>J432/F432</f>
        <v/>
      </c>
      <c r="M432" s="158" t="n"/>
    </row>
    <row r="433" ht="15" customHeight="1" s="272">
      <c r="A433" s="287" t="n"/>
      <c r="B433" s="298" t="n"/>
      <c r="C433" s="298" t="n"/>
      <c r="D433" s="208" t="inlineStr">
        <is>
          <t>11月</t>
        </is>
      </c>
      <c r="E433" s="299" t="n"/>
      <c r="F433" s="300" t="n"/>
      <c r="G433" s="301" t="n"/>
      <c r="H433" s="302" t="n"/>
      <c r="I433" s="303" t="n"/>
      <c r="J433" s="304">
        <f>G433+H433+I433</f>
        <v/>
      </c>
      <c r="K433" s="304">
        <f>J433/E433</f>
        <v/>
      </c>
      <c r="L433" s="304">
        <f>J433/F433</f>
        <v/>
      </c>
      <c r="M433" s="158" t="n"/>
    </row>
    <row r="434" ht="15" customHeight="1" s="272">
      <c r="A434" s="287" t="n"/>
      <c r="B434" s="298" t="n"/>
      <c r="C434" s="298" t="n"/>
      <c r="D434" s="208" t="inlineStr">
        <is>
          <t>12月</t>
        </is>
      </c>
      <c r="E434" s="299" t="n"/>
      <c r="F434" s="300" t="n"/>
      <c r="G434" s="301" t="n"/>
      <c r="H434" s="302" t="n"/>
      <c r="I434" s="303" t="n"/>
      <c r="J434" s="304">
        <f>G434+H434+I434</f>
        <v/>
      </c>
      <c r="K434" s="304">
        <f>J434/E434</f>
        <v/>
      </c>
      <c r="L434" s="304">
        <f>J434/F434</f>
        <v/>
      </c>
      <c r="M434" s="158" t="n"/>
    </row>
    <row r="435" ht="15" customHeight="1" s="272">
      <c r="A435" s="287" t="n"/>
      <c r="B435" s="298" t="n"/>
      <c r="C435" s="298" t="n"/>
      <c r="D435" s="208" t="inlineStr">
        <is>
          <t>1月</t>
        </is>
      </c>
      <c r="E435" s="299" t="n"/>
      <c r="F435" s="300" t="n"/>
      <c r="G435" s="301" t="n"/>
      <c r="H435" s="302" t="n"/>
      <c r="I435" s="303" t="n"/>
      <c r="J435" s="304">
        <f>G435+H435+I435</f>
        <v/>
      </c>
      <c r="K435" s="304">
        <f>J435/E435</f>
        <v/>
      </c>
      <c r="L435" s="304">
        <f>J435/F435</f>
        <v/>
      </c>
      <c r="M435" s="158" t="n"/>
    </row>
    <row r="436" ht="15" customHeight="1" s="272">
      <c r="A436" s="287" t="n"/>
      <c r="B436" s="298" t="n"/>
      <c r="C436" s="298" t="n"/>
      <c r="D436" s="208" t="inlineStr">
        <is>
          <t>2月</t>
        </is>
      </c>
      <c r="E436" s="299" t="n"/>
      <c r="F436" s="300" t="n"/>
      <c r="G436" s="301" t="n"/>
      <c r="H436" s="302" t="n"/>
      <c r="I436" s="303" t="n"/>
      <c r="J436" s="304">
        <f>G436+H436+I436</f>
        <v/>
      </c>
      <c r="K436" s="304">
        <f>J436/E436</f>
        <v/>
      </c>
      <c r="L436" s="304">
        <f>J436/F436</f>
        <v/>
      </c>
      <c r="M436" s="158" t="n"/>
    </row>
    <row r="437" ht="15" customHeight="1" s="272">
      <c r="A437" s="290" t="n"/>
      <c r="B437" s="305" t="n"/>
      <c r="C437" s="305" t="n"/>
      <c r="D437" s="211" t="inlineStr">
        <is>
          <t>3月</t>
        </is>
      </c>
      <c r="E437" s="306" t="n"/>
      <c r="F437" s="307" t="n"/>
      <c r="G437" s="308" t="n"/>
      <c r="H437" s="309" t="n"/>
      <c r="I437" s="310" t="n"/>
      <c r="J437" s="311">
        <f>G437+H437+I437</f>
        <v/>
      </c>
      <c r="K437" s="311">
        <f>J437/E437</f>
        <v/>
      </c>
      <c r="L437" s="311">
        <f>J437/F437</f>
        <v/>
      </c>
      <c r="M437" s="165" t="n"/>
    </row>
    <row r="438" ht="15" customHeight="1" s="272">
      <c r="A438" s="291" t="n">
        <v>37</v>
      </c>
      <c r="B438" s="168" t="n"/>
      <c r="C438" s="168" t="n"/>
      <c r="D438" s="205" t="inlineStr">
        <is>
          <t>4月</t>
        </is>
      </c>
      <c r="E438" s="292" t="n"/>
      <c r="F438" s="293" t="n"/>
      <c r="G438" s="294" t="n"/>
      <c r="H438" s="295" t="n"/>
      <c r="I438" s="296" t="n"/>
      <c r="J438" s="297">
        <f>G438+H438+I438</f>
        <v/>
      </c>
      <c r="K438" s="297">
        <f>J438/E438</f>
        <v/>
      </c>
      <c r="L438" s="297">
        <f>J438/F438</f>
        <v/>
      </c>
      <c r="M438" s="151" t="n"/>
    </row>
    <row r="439" ht="15" customHeight="1" s="272">
      <c r="A439" s="287" t="n"/>
      <c r="B439" s="298" t="n"/>
      <c r="C439" s="298" t="n"/>
      <c r="D439" s="208" t="inlineStr">
        <is>
          <t>5月</t>
        </is>
      </c>
      <c r="E439" s="299" t="n"/>
      <c r="F439" s="300" t="n"/>
      <c r="G439" s="301" t="n"/>
      <c r="H439" s="302" t="n"/>
      <c r="I439" s="303" t="n"/>
      <c r="J439" s="304">
        <f>G439+H439+I439</f>
        <v/>
      </c>
      <c r="K439" s="304">
        <f>J439/E439</f>
        <v/>
      </c>
      <c r="L439" s="304">
        <f>J439/F439</f>
        <v/>
      </c>
      <c r="M439" s="158" t="n"/>
    </row>
    <row r="440" ht="15" customHeight="1" s="272">
      <c r="A440" s="287" t="n"/>
      <c r="B440" s="298" t="n"/>
      <c r="C440" s="298" t="n"/>
      <c r="D440" s="208" t="inlineStr">
        <is>
          <t>6月</t>
        </is>
      </c>
      <c r="E440" s="299" t="n"/>
      <c r="F440" s="300" t="n"/>
      <c r="G440" s="301" t="n"/>
      <c r="H440" s="302" t="n"/>
      <c r="I440" s="303" t="n"/>
      <c r="J440" s="304">
        <f>G440+H440+I440</f>
        <v/>
      </c>
      <c r="K440" s="304">
        <f>J440/E440</f>
        <v/>
      </c>
      <c r="L440" s="304">
        <f>J440/F440</f>
        <v/>
      </c>
      <c r="M440" s="158" t="n"/>
    </row>
    <row r="441" ht="15" customHeight="1" s="272">
      <c r="A441" s="287" t="n"/>
      <c r="B441" s="298" t="n"/>
      <c r="C441" s="298" t="n"/>
      <c r="D441" s="208" t="inlineStr">
        <is>
          <t>7月</t>
        </is>
      </c>
      <c r="E441" s="299" t="n"/>
      <c r="F441" s="300" t="n"/>
      <c r="G441" s="301" t="n"/>
      <c r="H441" s="302" t="n"/>
      <c r="I441" s="303" t="n"/>
      <c r="J441" s="304">
        <f>G441+H441+I441</f>
        <v/>
      </c>
      <c r="K441" s="304">
        <f>J441/E441</f>
        <v/>
      </c>
      <c r="L441" s="304">
        <f>J441/F441</f>
        <v/>
      </c>
      <c r="M441" s="158" t="n"/>
    </row>
    <row r="442" ht="15" customHeight="1" s="272">
      <c r="A442" s="287" t="n"/>
      <c r="B442" s="298" t="n"/>
      <c r="C442" s="298" t="n"/>
      <c r="D442" s="208" t="inlineStr">
        <is>
          <t>8月</t>
        </is>
      </c>
      <c r="E442" s="299" t="n"/>
      <c r="F442" s="300" t="n"/>
      <c r="G442" s="301" t="n"/>
      <c r="H442" s="302" t="n"/>
      <c r="I442" s="303" t="n"/>
      <c r="J442" s="304">
        <f>G442+H442+I442</f>
        <v/>
      </c>
      <c r="K442" s="304">
        <f>J442/E442</f>
        <v/>
      </c>
      <c r="L442" s="304">
        <f>J442/F442</f>
        <v/>
      </c>
      <c r="M442" s="158" t="n"/>
    </row>
    <row r="443" ht="15" customHeight="1" s="272">
      <c r="A443" s="287" t="n"/>
      <c r="B443" s="298" t="n"/>
      <c r="C443" s="298" t="n"/>
      <c r="D443" s="208" t="inlineStr">
        <is>
          <t>9月</t>
        </is>
      </c>
      <c r="E443" s="299" t="n"/>
      <c r="F443" s="300" t="n"/>
      <c r="G443" s="301" t="n"/>
      <c r="H443" s="302" t="n"/>
      <c r="I443" s="303" t="n"/>
      <c r="J443" s="304">
        <f>G443+H443+I443</f>
        <v/>
      </c>
      <c r="K443" s="304">
        <f>J443/E443</f>
        <v/>
      </c>
      <c r="L443" s="304">
        <f>J443/F443</f>
        <v/>
      </c>
      <c r="M443" s="158" t="n"/>
    </row>
    <row r="444" ht="15" customHeight="1" s="272">
      <c r="A444" s="287" t="n"/>
      <c r="B444" s="298" t="n"/>
      <c r="C444" s="298" t="n"/>
      <c r="D444" s="208" t="inlineStr">
        <is>
          <t>10月</t>
        </is>
      </c>
      <c r="E444" s="299" t="n"/>
      <c r="F444" s="300" t="n"/>
      <c r="G444" s="301" t="n"/>
      <c r="H444" s="302" t="n"/>
      <c r="I444" s="303" t="n"/>
      <c r="J444" s="304">
        <f>G444+H444+I444</f>
        <v/>
      </c>
      <c r="K444" s="304">
        <f>J444/E444</f>
        <v/>
      </c>
      <c r="L444" s="304">
        <f>J444/F444</f>
        <v/>
      </c>
      <c r="M444" s="158" t="n"/>
    </row>
    <row r="445" ht="15" customHeight="1" s="272">
      <c r="A445" s="287" t="n"/>
      <c r="B445" s="298" t="n"/>
      <c r="C445" s="298" t="n"/>
      <c r="D445" s="208" t="inlineStr">
        <is>
          <t>11月</t>
        </is>
      </c>
      <c r="E445" s="299" t="n"/>
      <c r="F445" s="300" t="n"/>
      <c r="G445" s="301" t="n"/>
      <c r="H445" s="302" t="n"/>
      <c r="I445" s="303" t="n"/>
      <c r="J445" s="304">
        <f>G445+H445+I445</f>
        <v/>
      </c>
      <c r="K445" s="304">
        <f>J445/E445</f>
        <v/>
      </c>
      <c r="L445" s="304">
        <f>J445/F445</f>
        <v/>
      </c>
      <c r="M445" s="158" t="n"/>
    </row>
    <row r="446" ht="15" customHeight="1" s="272">
      <c r="A446" s="287" t="n"/>
      <c r="B446" s="298" t="n"/>
      <c r="C446" s="298" t="n"/>
      <c r="D446" s="208" t="inlineStr">
        <is>
          <t>12月</t>
        </is>
      </c>
      <c r="E446" s="299" t="n"/>
      <c r="F446" s="300" t="n"/>
      <c r="G446" s="301" t="n"/>
      <c r="H446" s="302" t="n"/>
      <c r="I446" s="303" t="n"/>
      <c r="J446" s="304">
        <f>G446+H446+I446</f>
        <v/>
      </c>
      <c r="K446" s="304">
        <f>J446/E446</f>
        <v/>
      </c>
      <c r="L446" s="304">
        <f>J446/F446</f>
        <v/>
      </c>
      <c r="M446" s="158" t="n"/>
    </row>
    <row r="447" ht="15" customHeight="1" s="272">
      <c r="A447" s="287" t="n"/>
      <c r="B447" s="298" t="n"/>
      <c r="C447" s="298" t="n"/>
      <c r="D447" s="208" t="inlineStr">
        <is>
          <t>1月</t>
        </is>
      </c>
      <c r="E447" s="299" t="n"/>
      <c r="F447" s="300" t="n"/>
      <c r="G447" s="301" t="n"/>
      <c r="H447" s="302" t="n"/>
      <c r="I447" s="303" t="n"/>
      <c r="J447" s="304">
        <f>G447+H447+I447</f>
        <v/>
      </c>
      <c r="K447" s="304">
        <f>J447/E447</f>
        <v/>
      </c>
      <c r="L447" s="304">
        <f>J447/F447</f>
        <v/>
      </c>
      <c r="M447" s="158" t="n"/>
    </row>
    <row r="448" ht="15" customHeight="1" s="272">
      <c r="A448" s="287" t="n"/>
      <c r="B448" s="298" t="n"/>
      <c r="C448" s="298" t="n"/>
      <c r="D448" s="208" t="inlineStr">
        <is>
          <t>2月</t>
        </is>
      </c>
      <c r="E448" s="299" t="n"/>
      <c r="F448" s="300" t="n"/>
      <c r="G448" s="301" t="n"/>
      <c r="H448" s="302" t="n"/>
      <c r="I448" s="303" t="n"/>
      <c r="J448" s="304">
        <f>G448+H448+I448</f>
        <v/>
      </c>
      <c r="K448" s="304">
        <f>J448/E448</f>
        <v/>
      </c>
      <c r="L448" s="304">
        <f>J448/F448</f>
        <v/>
      </c>
      <c r="M448" s="158" t="n"/>
    </row>
    <row r="449" ht="15" customHeight="1" s="272">
      <c r="A449" s="290" t="n"/>
      <c r="B449" s="305" t="n"/>
      <c r="C449" s="305" t="n"/>
      <c r="D449" s="211" t="inlineStr">
        <is>
          <t>3月</t>
        </is>
      </c>
      <c r="E449" s="306" t="n"/>
      <c r="F449" s="307" t="n"/>
      <c r="G449" s="308" t="n"/>
      <c r="H449" s="309" t="n"/>
      <c r="I449" s="310" t="n"/>
      <c r="J449" s="312">
        <f>G449+H449+I449</f>
        <v/>
      </c>
      <c r="K449" s="312">
        <f>J449/E449</f>
        <v/>
      </c>
      <c r="L449" s="312">
        <f>J449/F449</f>
        <v/>
      </c>
      <c r="M449" s="165" t="n"/>
    </row>
    <row r="450" ht="15" customHeight="1" s="272">
      <c r="A450" s="291" t="n">
        <v>38</v>
      </c>
      <c r="B450" s="168" t="n"/>
      <c r="C450" s="168" t="n"/>
      <c r="D450" s="205" t="inlineStr">
        <is>
          <t>4月</t>
        </is>
      </c>
      <c r="E450" s="292" t="n"/>
      <c r="F450" s="293" t="n"/>
      <c r="G450" s="294" t="n"/>
      <c r="H450" s="295" t="n"/>
      <c r="I450" s="296" t="n"/>
      <c r="J450" s="297">
        <f>G450+H450+I450</f>
        <v/>
      </c>
      <c r="K450" s="297">
        <f>J450/E450</f>
        <v/>
      </c>
      <c r="L450" s="297">
        <f>J450/F450</f>
        <v/>
      </c>
      <c r="M450" s="151" t="n"/>
    </row>
    <row r="451" ht="15" customHeight="1" s="272">
      <c r="A451" s="287" t="n"/>
      <c r="B451" s="298" t="n"/>
      <c r="C451" s="298" t="n"/>
      <c r="D451" s="208" t="inlineStr">
        <is>
          <t>5月</t>
        </is>
      </c>
      <c r="E451" s="299" t="n"/>
      <c r="F451" s="300" t="n"/>
      <c r="G451" s="301" t="n"/>
      <c r="H451" s="302" t="n"/>
      <c r="I451" s="303" t="n"/>
      <c r="J451" s="304">
        <f>G451+H451+I451</f>
        <v/>
      </c>
      <c r="K451" s="304">
        <f>J451/E451</f>
        <v/>
      </c>
      <c r="L451" s="304">
        <f>J451/F451</f>
        <v/>
      </c>
      <c r="M451" s="158" t="n"/>
    </row>
    <row r="452" ht="15" customHeight="1" s="272">
      <c r="A452" s="287" t="n"/>
      <c r="B452" s="298" t="n"/>
      <c r="C452" s="298" t="n"/>
      <c r="D452" s="208" t="inlineStr">
        <is>
          <t>6月</t>
        </is>
      </c>
      <c r="E452" s="299" t="n"/>
      <c r="F452" s="300" t="n"/>
      <c r="G452" s="301" t="n"/>
      <c r="H452" s="302" t="n"/>
      <c r="I452" s="303" t="n"/>
      <c r="J452" s="304">
        <f>G452+H452+I452</f>
        <v/>
      </c>
      <c r="K452" s="304">
        <f>J452/E452</f>
        <v/>
      </c>
      <c r="L452" s="304">
        <f>J452/F452</f>
        <v/>
      </c>
      <c r="M452" s="158" t="n"/>
    </row>
    <row r="453" ht="15" customHeight="1" s="272">
      <c r="A453" s="287" t="n"/>
      <c r="B453" s="298" t="n"/>
      <c r="C453" s="298" t="n"/>
      <c r="D453" s="208" t="inlineStr">
        <is>
          <t>7月</t>
        </is>
      </c>
      <c r="E453" s="299" t="n"/>
      <c r="F453" s="300" t="n"/>
      <c r="G453" s="301" t="n"/>
      <c r="H453" s="302" t="n"/>
      <c r="I453" s="303" t="n"/>
      <c r="J453" s="304">
        <f>G453+H453+I453</f>
        <v/>
      </c>
      <c r="K453" s="304">
        <f>J453/E453</f>
        <v/>
      </c>
      <c r="L453" s="304">
        <f>J453/F453</f>
        <v/>
      </c>
      <c r="M453" s="158" t="n"/>
    </row>
    <row r="454" ht="15" customHeight="1" s="272">
      <c r="A454" s="287" t="n"/>
      <c r="B454" s="298" t="n"/>
      <c r="C454" s="298" t="n"/>
      <c r="D454" s="208" t="inlineStr">
        <is>
          <t>8月</t>
        </is>
      </c>
      <c r="E454" s="299" t="n"/>
      <c r="F454" s="300" t="n"/>
      <c r="G454" s="301" t="n"/>
      <c r="H454" s="302" t="n"/>
      <c r="I454" s="303" t="n"/>
      <c r="J454" s="304">
        <f>G454+H454+I454</f>
        <v/>
      </c>
      <c r="K454" s="304">
        <f>J454/E454</f>
        <v/>
      </c>
      <c r="L454" s="304">
        <f>J454/F454</f>
        <v/>
      </c>
      <c r="M454" s="158" t="n"/>
    </row>
    <row r="455" ht="15" customHeight="1" s="272">
      <c r="A455" s="287" t="n"/>
      <c r="B455" s="298" t="n"/>
      <c r="C455" s="298" t="n"/>
      <c r="D455" s="208" t="inlineStr">
        <is>
          <t>9月</t>
        </is>
      </c>
      <c r="E455" s="299" t="n"/>
      <c r="F455" s="300" t="n"/>
      <c r="G455" s="301" t="n"/>
      <c r="H455" s="302" t="n"/>
      <c r="I455" s="303" t="n"/>
      <c r="J455" s="304">
        <f>G455+H455+I455</f>
        <v/>
      </c>
      <c r="K455" s="304">
        <f>J455/E455</f>
        <v/>
      </c>
      <c r="L455" s="304">
        <f>J455/F455</f>
        <v/>
      </c>
      <c r="M455" s="158" t="n"/>
    </row>
    <row r="456" ht="15" customHeight="1" s="272">
      <c r="A456" s="287" t="n"/>
      <c r="B456" s="298" t="n"/>
      <c r="C456" s="298" t="n"/>
      <c r="D456" s="208" t="inlineStr">
        <is>
          <t>10月</t>
        </is>
      </c>
      <c r="E456" s="299" t="n"/>
      <c r="F456" s="300" t="n"/>
      <c r="G456" s="301" t="n"/>
      <c r="H456" s="302" t="n"/>
      <c r="I456" s="303" t="n"/>
      <c r="J456" s="304">
        <f>G456+H456+I456</f>
        <v/>
      </c>
      <c r="K456" s="304">
        <f>J456/E456</f>
        <v/>
      </c>
      <c r="L456" s="304">
        <f>J456/F456</f>
        <v/>
      </c>
      <c r="M456" s="158" t="n"/>
    </row>
    <row r="457" ht="15" customHeight="1" s="272">
      <c r="A457" s="287" t="n"/>
      <c r="B457" s="298" t="n"/>
      <c r="C457" s="298" t="n"/>
      <c r="D457" s="208" t="inlineStr">
        <is>
          <t>11月</t>
        </is>
      </c>
      <c r="E457" s="299" t="n"/>
      <c r="F457" s="300" t="n"/>
      <c r="G457" s="301" t="n"/>
      <c r="H457" s="302" t="n"/>
      <c r="I457" s="303" t="n"/>
      <c r="J457" s="304">
        <f>G457+H457+I457</f>
        <v/>
      </c>
      <c r="K457" s="304">
        <f>J457/E457</f>
        <v/>
      </c>
      <c r="L457" s="304">
        <f>J457/F457</f>
        <v/>
      </c>
      <c r="M457" s="158" t="n"/>
    </row>
    <row r="458" ht="15" customHeight="1" s="272">
      <c r="A458" s="287" t="n"/>
      <c r="B458" s="298" t="n"/>
      <c r="C458" s="298" t="n"/>
      <c r="D458" s="208" t="inlineStr">
        <is>
          <t>12月</t>
        </is>
      </c>
      <c r="E458" s="299" t="n"/>
      <c r="F458" s="300" t="n"/>
      <c r="G458" s="301" t="n"/>
      <c r="H458" s="302" t="n"/>
      <c r="I458" s="303" t="n"/>
      <c r="J458" s="304">
        <f>G458+H458+I458</f>
        <v/>
      </c>
      <c r="K458" s="304">
        <f>J458/E458</f>
        <v/>
      </c>
      <c r="L458" s="304">
        <f>J458/F458</f>
        <v/>
      </c>
      <c r="M458" s="158" t="n"/>
    </row>
    <row r="459" ht="15" customHeight="1" s="272">
      <c r="A459" s="287" t="n"/>
      <c r="B459" s="298" t="n"/>
      <c r="C459" s="298" t="n"/>
      <c r="D459" s="208" t="inlineStr">
        <is>
          <t>1月</t>
        </is>
      </c>
      <c r="E459" s="299" t="n"/>
      <c r="F459" s="300" t="n"/>
      <c r="G459" s="301" t="n"/>
      <c r="H459" s="302" t="n"/>
      <c r="I459" s="303" t="n"/>
      <c r="J459" s="304">
        <f>G459+H459+I459</f>
        <v/>
      </c>
      <c r="K459" s="304">
        <f>J459/E459</f>
        <v/>
      </c>
      <c r="L459" s="304">
        <f>J459/F459</f>
        <v/>
      </c>
      <c r="M459" s="158" t="n"/>
    </row>
    <row r="460" ht="15" customHeight="1" s="272">
      <c r="A460" s="287" t="n"/>
      <c r="B460" s="298" t="n"/>
      <c r="C460" s="298" t="n"/>
      <c r="D460" s="208" t="inlineStr">
        <is>
          <t>2月</t>
        </is>
      </c>
      <c r="E460" s="299" t="n"/>
      <c r="F460" s="300" t="n"/>
      <c r="G460" s="301" t="n"/>
      <c r="H460" s="302" t="n"/>
      <c r="I460" s="303" t="n"/>
      <c r="J460" s="304">
        <f>G460+H460+I460</f>
        <v/>
      </c>
      <c r="K460" s="304">
        <f>J460/E460</f>
        <v/>
      </c>
      <c r="L460" s="304">
        <f>J460/F460</f>
        <v/>
      </c>
      <c r="M460" s="158" t="n"/>
    </row>
    <row r="461" ht="15" customHeight="1" s="272">
      <c r="A461" s="290" t="n"/>
      <c r="B461" s="305" t="n"/>
      <c r="C461" s="305" t="n"/>
      <c r="D461" s="211" t="inlineStr">
        <is>
          <t>3月</t>
        </is>
      </c>
      <c r="E461" s="306" t="n"/>
      <c r="F461" s="307" t="n"/>
      <c r="G461" s="308" t="n"/>
      <c r="H461" s="309" t="n"/>
      <c r="I461" s="310" t="n"/>
      <c r="J461" s="311">
        <f>G461+H461+I461</f>
        <v/>
      </c>
      <c r="K461" s="311">
        <f>J461/E461</f>
        <v/>
      </c>
      <c r="L461" s="311">
        <f>J461/F461</f>
        <v/>
      </c>
      <c r="M461" s="165" t="n"/>
    </row>
    <row r="462" ht="15" customHeight="1" s="272">
      <c r="A462" s="291" t="n">
        <v>39</v>
      </c>
      <c r="B462" s="168" t="n"/>
      <c r="C462" s="168" t="n"/>
      <c r="D462" s="205" t="inlineStr">
        <is>
          <t>4月</t>
        </is>
      </c>
      <c r="E462" s="292" t="n"/>
      <c r="F462" s="293" t="n"/>
      <c r="G462" s="294" t="n"/>
      <c r="H462" s="295" t="n"/>
      <c r="I462" s="296" t="n"/>
      <c r="J462" s="297">
        <f>G462+H462+I462</f>
        <v/>
      </c>
      <c r="K462" s="297">
        <f>J462/E462</f>
        <v/>
      </c>
      <c r="L462" s="297">
        <f>J462/F462</f>
        <v/>
      </c>
      <c r="M462" s="151" t="n"/>
    </row>
    <row r="463" ht="15" customHeight="1" s="272">
      <c r="A463" s="287" t="n"/>
      <c r="B463" s="298" t="n"/>
      <c r="C463" s="298" t="n"/>
      <c r="D463" s="208" t="inlineStr">
        <is>
          <t>5月</t>
        </is>
      </c>
      <c r="E463" s="299" t="n"/>
      <c r="F463" s="300" t="n"/>
      <c r="G463" s="301" t="n"/>
      <c r="H463" s="302" t="n"/>
      <c r="I463" s="303" t="n"/>
      <c r="J463" s="304">
        <f>G463+H463+I463</f>
        <v/>
      </c>
      <c r="K463" s="304">
        <f>J463/E463</f>
        <v/>
      </c>
      <c r="L463" s="304">
        <f>J463/F463</f>
        <v/>
      </c>
      <c r="M463" s="158" t="n"/>
    </row>
    <row r="464" ht="15" customHeight="1" s="272">
      <c r="A464" s="287" t="n"/>
      <c r="B464" s="298" t="n"/>
      <c r="C464" s="298" t="n"/>
      <c r="D464" s="208" t="inlineStr">
        <is>
          <t>6月</t>
        </is>
      </c>
      <c r="E464" s="299" t="n"/>
      <c r="F464" s="300" t="n"/>
      <c r="G464" s="301" t="n"/>
      <c r="H464" s="302" t="n"/>
      <c r="I464" s="303" t="n"/>
      <c r="J464" s="304">
        <f>G464+H464+I464</f>
        <v/>
      </c>
      <c r="K464" s="304">
        <f>J464/E464</f>
        <v/>
      </c>
      <c r="L464" s="304">
        <f>J464/F464</f>
        <v/>
      </c>
      <c r="M464" s="158" t="n"/>
    </row>
    <row r="465" ht="15" customHeight="1" s="272">
      <c r="A465" s="287" t="n"/>
      <c r="B465" s="298" t="n"/>
      <c r="C465" s="298" t="n"/>
      <c r="D465" s="208" t="inlineStr">
        <is>
          <t>7月</t>
        </is>
      </c>
      <c r="E465" s="299" t="n"/>
      <c r="F465" s="300" t="n"/>
      <c r="G465" s="301" t="n"/>
      <c r="H465" s="302" t="n"/>
      <c r="I465" s="303" t="n"/>
      <c r="J465" s="304">
        <f>G465+H465+I465</f>
        <v/>
      </c>
      <c r="K465" s="304">
        <f>J465/E465</f>
        <v/>
      </c>
      <c r="L465" s="304">
        <f>J465/F465</f>
        <v/>
      </c>
      <c r="M465" s="158" t="n"/>
    </row>
    <row r="466" ht="15" customHeight="1" s="272">
      <c r="A466" s="287" t="n"/>
      <c r="B466" s="298" t="n"/>
      <c r="C466" s="298" t="n"/>
      <c r="D466" s="208" t="inlineStr">
        <is>
          <t>8月</t>
        </is>
      </c>
      <c r="E466" s="299" t="n"/>
      <c r="F466" s="300" t="n"/>
      <c r="G466" s="301" t="n"/>
      <c r="H466" s="302" t="n"/>
      <c r="I466" s="303" t="n"/>
      <c r="J466" s="304">
        <f>G466+H466+I466</f>
        <v/>
      </c>
      <c r="K466" s="304">
        <f>J466/E466</f>
        <v/>
      </c>
      <c r="L466" s="304">
        <f>J466/F466</f>
        <v/>
      </c>
      <c r="M466" s="158" t="n"/>
    </row>
    <row r="467" ht="15" customHeight="1" s="272">
      <c r="A467" s="287" t="n"/>
      <c r="B467" s="298" t="n"/>
      <c r="C467" s="298" t="n"/>
      <c r="D467" s="208" t="inlineStr">
        <is>
          <t>9月</t>
        </is>
      </c>
      <c r="E467" s="299" t="n"/>
      <c r="F467" s="300" t="n"/>
      <c r="G467" s="301" t="n"/>
      <c r="H467" s="302" t="n"/>
      <c r="I467" s="303" t="n"/>
      <c r="J467" s="304">
        <f>G467+H467+I467</f>
        <v/>
      </c>
      <c r="K467" s="304">
        <f>J467/E467</f>
        <v/>
      </c>
      <c r="L467" s="304">
        <f>J467/F467</f>
        <v/>
      </c>
      <c r="M467" s="158" t="n"/>
    </row>
    <row r="468" ht="15" customHeight="1" s="272">
      <c r="A468" s="287" t="n"/>
      <c r="B468" s="298" t="n"/>
      <c r="C468" s="298" t="n"/>
      <c r="D468" s="208" t="inlineStr">
        <is>
          <t>10月</t>
        </is>
      </c>
      <c r="E468" s="299" t="n"/>
      <c r="F468" s="300" t="n"/>
      <c r="G468" s="301" t="n"/>
      <c r="H468" s="302" t="n"/>
      <c r="I468" s="303" t="n"/>
      <c r="J468" s="304">
        <f>G468+H468+I468</f>
        <v/>
      </c>
      <c r="K468" s="304">
        <f>J468/E468</f>
        <v/>
      </c>
      <c r="L468" s="304">
        <f>J468/F468</f>
        <v/>
      </c>
      <c r="M468" s="158" t="n"/>
    </row>
    <row r="469" ht="15" customHeight="1" s="272">
      <c r="A469" s="287" t="n"/>
      <c r="B469" s="298" t="n"/>
      <c r="C469" s="298" t="n"/>
      <c r="D469" s="208" t="inlineStr">
        <is>
          <t>11月</t>
        </is>
      </c>
      <c r="E469" s="299" t="n"/>
      <c r="F469" s="300" t="n"/>
      <c r="G469" s="301" t="n"/>
      <c r="H469" s="302" t="n"/>
      <c r="I469" s="303" t="n"/>
      <c r="J469" s="304">
        <f>G469+H469+I469</f>
        <v/>
      </c>
      <c r="K469" s="304">
        <f>J469/E469</f>
        <v/>
      </c>
      <c r="L469" s="304">
        <f>J469/F469</f>
        <v/>
      </c>
      <c r="M469" s="158" t="n"/>
    </row>
    <row r="470" ht="15" customHeight="1" s="272">
      <c r="A470" s="287" t="n"/>
      <c r="B470" s="298" t="n"/>
      <c r="C470" s="298" t="n"/>
      <c r="D470" s="208" t="inlineStr">
        <is>
          <t>12月</t>
        </is>
      </c>
      <c r="E470" s="299" t="n"/>
      <c r="F470" s="300" t="n"/>
      <c r="G470" s="301" t="n"/>
      <c r="H470" s="302" t="n"/>
      <c r="I470" s="303" t="n"/>
      <c r="J470" s="304">
        <f>G470+H470+I470</f>
        <v/>
      </c>
      <c r="K470" s="304">
        <f>J470/E470</f>
        <v/>
      </c>
      <c r="L470" s="304">
        <f>J470/F470</f>
        <v/>
      </c>
      <c r="M470" s="158" t="n"/>
    </row>
    <row r="471" ht="15" customHeight="1" s="272">
      <c r="A471" s="287" t="n"/>
      <c r="B471" s="298" t="n"/>
      <c r="C471" s="298" t="n"/>
      <c r="D471" s="208" t="inlineStr">
        <is>
          <t>1月</t>
        </is>
      </c>
      <c r="E471" s="299" t="n"/>
      <c r="F471" s="300" t="n"/>
      <c r="G471" s="301" t="n"/>
      <c r="H471" s="302" t="n"/>
      <c r="I471" s="303" t="n"/>
      <c r="J471" s="304">
        <f>G471+H471+I471</f>
        <v/>
      </c>
      <c r="K471" s="304">
        <f>J471/E471</f>
        <v/>
      </c>
      <c r="L471" s="304">
        <f>J471/F471</f>
        <v/>
      </c>
      <c r="M471" s="158" t="n"/>
    </row>
    <row r="472" ht="15" customHeight="1" s="272">
      <c r="A472" s="287" t="n"/>
      <c r="B472" s="298" t="n"/>
      <c r="C472" s="298" t="n"/>
      <c r="D472" s="208" t="inlineStr">
        <is>
          <t>2月</t>
        </is>
      </c>
      <c r="E472" s="299" t="n"/>
      <c r="F472" s="300" t="n"/>
      <c r="G472" s="301" t="n"/>
      <c r="H472" s="302" t="n"/>
      <c r="I472" s="303" t="n"/>
      <c r="J472" s="304">
        <f>G472+H472+I472</f>
        <v/>
      </c>
      <c r="K472" s="304">
        <f>J472/E472</f>
        <v/>
      </c>
      <c r="L472" s="304">
        <f>J472/F472</f>
        <v/>
      </c>
      <c r="M472" s="158" t="n"/>
    </row>
    <row r="473" ht="15" customHeight="1" s="272">
      <c r="A473" s="290" t="n"/>
      <c r="B473" s="305" t="n"/>
      <c r="C473" s="305" t="n"/>
      <c r="D473" s="211" t="inlineStr">
        <is>
          <t>3月</t>
        </is>
      </c>
      <c r="E473" s="306" t="n"/>
      <c r="F473" s="307" t="n"/>
      <c r="G473" s="308" t="n"/>
      <c r="H473" s="309" t="n"/>
      <c r="I473" s="310" t="n"/>
      <c r="J473" s="311">
        <f>G473+H473+I473</f>
        <v/>
      </c>
      <c r="K473" s="311">
        <f>J473/E473</f>
        <v/>
      </c>
      <c r="L473" s="311">
        <f>J473/F473</f>
        <v/>
      </c>
      <c r="M473" s="165" t="n"/>
    </row>
    <row r="474" ht="15" customHeight="1" s="272">
      <c r="A474" s="291" t="n">
        <v>40</v>
      </c>
      <c r="B474" s="168" t="n"/>
      <c r="C474" s="168" t="n"/>
      <c r="D474" s="205" t="inlineStr">
        <is>
          <t>4月</t>
        </is>
      </c>
      <c r="E474" s="292" t="n"/>
      <c r="F474" s="293" t="n"/>
      <c r="G474" s="294" t="n"/>
      <c r="H474" s="295" t="n"/>
      <c r="I474" s="296" t="n"/>
      <c r="J474" s="297">
        <f>G474+H474+I474</f>
        <v/>
      </c>
      <c r="K474" s="297">
        <f>J474/E474</f>
        <v/>
      </c>
      <c r="L474" s="297">
        <f>J474/F474</f>
        <v/>
      </c>
      <c r="M474" s="151" t="n"/>
    </row>
    <row r="475" ht="15" customHeight="1" s="272">
      <c r="A475" s="287" t="n"/>
      <c r="B475" s="298" t="n"/>
      <c r="C475" s="298" t="n"/>
      <c r="D475" s="208" t="inlineStr">
        <is>
          <t>5月</t>
        </is>
      </c>
      <c r="E475" s="299" t="n"/>
      <c r="F475" s="300" t="n"/>
      <c r="G475" s="301" t="n"/>
      <c r="H475" s="302" t="n"/>
      <c r="I475" s="303" t="n"/>
      <c r="J475" s="304">
        <f>G475+H475+I475</f>
        <v/>
      </c>
      <c r="K475" s="304">
        <f>J475/E475</f>
        <v/>
      </c>
      <c r="L475" s="304">
        <f>J475/F475</f>
        <v/>
      </c>
      <c r="M475" s="158" t="n"/>
    </row>
    <row r="476" ht="15" customHeight="1" s="272">
      <c r="A476" s="287" t="n"/>
      <c r="B476" s="298" t="n"/>
      <c r="C476" s="298" t="n"/>
      <c r="D476" s="208" t="inlineStr">
        <is>
          <t>6月</t>
        </is>
      </c>
      <c r="E476" s="299" t="n"/>
      <c r="F476" s="300" t="n"/>
      <c r="G476" s="301" t="n"/>
      <c r="H476" s="302" t="n"/>
      <c r="I476" s="303" t="n"/>
      <c r="J476" s="304">
        <f>G476+H476+I476</f>
        <v/>
      </c>
      <c r="K476" s="304">
        <f>J476/E476</f>
        <v/>
      </c>
      <c r="L476" s="304">
        <f>J476/F476</f>
        <v/>
      </c>
      <c r="M476" s="158" t="n"/>
    </row>
    <row r="477" ht="15" customHeight="1" s="272">
      <c r="A477" s="287" t="n"/>
      <c r="B477" s="298" t="n"/>
      <c r="C477" s="298" t="n"/>
      <c r="D477" s="208" t="inlineStr">
        <is>
          <t>7月</t>
        </is>
      </c>
      <c r="E477" s="299" t="n"/>
      <c r="F477" s="300" t="n"/>
      <c r="G477" s="301" t="n"/>
      <c r="H477" s="302" t="n"/>
      <c r="I477" s="303" t="n"/>
      <c r="J477" s="304">
        <f>G477+H477+I477</f>
        <v/>
      </c>
      <c r="K477" s="304">
        <f>J477/E477</f>
        <v/>
      </c>
      <c r="L477" s="304">
        <f>J477/F477</f>
        <v/>
      </c>
      <c r="M477" s="158" t="n"/>
    </row>
    <row r="478" ht="15" customHeight="1" s="272">
      <c r="A478" s="287" t="n"/>
      <c r="B478" s="298" t="n"/>
      <c r="C478" s="298" t="n"/>
      <c r="D478" s="208" t="inlineStr">
        <is>
          <t>8月</t>
        </is>
      </c>
      <c r="E478" s="299" t="n"/>
      <c r="F478" s="300" t="n"/>
      <c r="G478" s="301" t="n"/>
      <c r="H478" s="302" t="n"/>
      <c r="I478" s="303" t="n"/>
      <c r="J478" s="304">
        <f>G478+H478+I478</f>
        <v/>
      </c>
      <c r="K478" s="304">
        <f>J478/E478</f>
        <v/>
      </c>
      <c r="L478" s="304">
        <f>J478/F478</f>
        <v/>
      </c>
      <c r="M478" s="158" t="n"/>
    </row>
    <row r="479" ht="15" customHeight="1" s="272">
      <c r="A479" s="287" t="n"/>
      <c r="B479" s="298" t="n"/>
      <c r="C479" s="298" t="n"/>
      <c r="D479" s="208" t="inlineStr">
        <is>
          <t>9月</t>
        </is>
      </c>
      <c r="E479" s="299" t="n"/>
      <c r="F479" s="300" t="n"/>
      <c r="G479" s="301" t="n"/>
      <c r="H479" s="302" t="n"/>
      <c r="I479" s="303" t="n"/>
      <c r="J479" s="304">
        <f>G479+H479+I479</f>
        <v/>
      </c>
      <c r="K479" s="304">
        <f>J479/E479</f>
        <v/>
      </c>
      <c r="L479" s="304">
        <f>J479/F479</f>
        <v/>
      </c>
      <c r="M479" s="158" t="n"/>
    </row>
    <row r="480" ht="15" customHeight="1" s="272">
      <c r="A480" s="287" t="n"/>
      <c r="B480" s="298" t="n"/>
      <c r="C480" s="298" t="n"/>
      <c r="D480" s="208" t="inlineStr">
        <is>
          <t>10月</t>
        </is>
      </c>
      <c r="E480" s="299" t="n"/>
      <c r="F480" s="300" t="n"/>
      <c r="G480" s="301" t="n"/>
      <c r="H480" s="302" t="n"/>
      <c r="I480" s="303" t="n"/>
      <c r="J480" s="304">
        <f>G480+H480+I480</f>
        <v/>
      </c>
      <c r="K480" s="304">
        <f>J480/E480</f>
        <v/>
      </c>
      <c r="L480" s="304">
        <f>J480/F480</f>
        <v/>
      </c>
      <c r="M480" s="158" t="n"/>
    </row>
    <row r="481" ht="15" customHeight="1" s="272">
      <c r="A481" s="287" t="n"/>
      <c r="B481" s="298" t="n"/>
      <c r="C481" s="298" t="n"/>
      <c r="D481" s="208" t="inlineStr">
        <is>
          <t>11月</t>
        </is>
      </c>
      <c r="E481" s="299" t="n"/>
      <c r="F481" s="300" t="n"/>
      <c r="G481" s="301" t="n"/>
      <c r="H481" s="302" t="n"/>
      <c r="I481" s="303" t="n"/>
      <c r="J481" s="304">
        <f>G481+H481+I481</f>
        <v/>
      </c>
      <c r="K481" s="304">
        <f>J481/E481</f>
        <v/>
      </c>
      <c r="L481" s="304">
        <f>J481/F481</f>
        <v/>
      </c>
      <c r="M481" s="158" t="n"/>
    </row>
    <row r="482" ht="15" customHeight="1" s="272">
      <c r="A482" s="287" t="n"/>
      <c r="B482" s="298" t="n"/>
      <c r="C482" s="298" t="n"/>
      <c r="D482" s="208" t="inlineStr">
        <is>
          <t>12月</t>
        </is>
      </c>
      <c r="E482" s="299" t="n"/>
      <c r="F482" s="300" t="n"/>
      <c r="G482" s="301" t="n"/>
      <c r="H482" s="302" t="n"/>
      <c r="I482" s="303" t="n"/>
      <c r="J482" s="304">
        <f>G482+H482+I482</f>
        <v/>
      </c>
      <c r="K482" s="304">
        <f>J482/E482</f>
        <v/>
      </c>
      <c r="L482" s="304">
        <f>J482/F482</f>
        <v/>
      </c>
      <c r="M482" s="158" t="n"/>
    </row>
    <row r="483" ht="15" customHeight="1" s="272">
      <c r="A483" s="287" t="n"/>
      <c r="B483" s="298" t="n"/>
      <c r="C483" s="298" t="n"/>
      <c r="D483" s="208" t="inlineStr">
        <is>
          <t>1月</t>
        </is>
      </c>
      <c r="E483" s="299" t="n"/>
      <c r="F483" s="300" t="n"/>
      <c r="G483" s="301" t="n"/>
      <c r="H483" s="302" t="n"/>
      <c r="I483" s="303" t="n"/>
      <c r="J483" s="304">
        <f>G483+H483+I483</f>
        <v/>
      </c>
      <c r="K483" s="304">
        <f>J483/E483</f>
        <v/>
      </c>
      <c r="L483" s="304">
        <f>J483/F483</f>
        <v/>
      </c>
      <c r="M483" s="158" t="n"/>
    </row>
    <row r="484" ht="15" customHeight="1" s="272">
      <c r="A484" s="287" t="n"/>
      <c r="B484" s="298" t="n"/>
      <c r="C484" s="298" t="n"/>
      <c r="D484" s="208" t="inlineStr">
        <is>
          <t>2月</t>
        </is>
      </c>
      <c r="E484" s="299" t="n"/>
      <c r="F484" s="300" t="n"/>
      <c r="G484" s="301" t="n"/>
      <c r="H484" s="302" t="n"/>
      <c r="I484" s="303" t="n"/>
      <c r="J484" s="304">
        <f>G484+H484+I484</f>
        <v/>
      </c>
      <c r="K484" s="304">
        <f>J484/E484</f>
        <v/>
      </c>
      <c r="L484" s="304">
        <f>J484/F484</f>
        <v/>
      </c>
      <c r="M484" s="158" t="n"/>
    </row>
    <row r="485" ht="15" customHeight="1" s="272">
      <c r="A485" s="290" t="n"/>
      <c r="B485" s="305" t="n"/>
      <c r="C485" s="305" t="n"/>
      <c r="D485" s="211" t="inlineStr">
        <is>
          <t>3月</t>
        </is>
      </c>
      <c r="E485" s="306" t="n"/>
      <c r="F485" s="307" t="n"/>
      <c r="G485" s="308" t="n"/>
      <c r="H485" s="309" t="n"/>
      <c r="I485" s="310" t="n"/>
      <c r="J485" s="311">
        <f>G485+H485+I485</f>
        <v/>
      </c>
      <c r="K485" s="311">
        <f>J485/E485</f>
        <v/>
      </c>
      <c r="L485" s="311">
        <f>J485/F485</f>
        <v/>
      </c>
      <c r="M485" s="165" t="n"/>
    </row>
    <row r="486" ht="15" customHeight="1" s="272">
      <c r="A486" s="291" t="n">
        <v>41</v>
      </c>
      <c r="B486" s="168" t="n"/>
      <c r="C486" s="168" t="n"/>
      <c r="D486" s="205" t="inlineStr">
        <is>
          <t>4月</t>
        </is>
      </c>
      <c r="E486" s="292" t="n"/>
      <c r="F486" s="293" t="n"/>
      <c r="G486" s="294" t="n"/>
      <c r="H486" s="295" t="n"/>
      <c r="I486" s="296" t="n"/>
      <c r="J486" s="297">
        <f>G486+H486+I486</f>
        <v/>
      </c>
      <c r="K486" s="297">
        <f>J486/E486</f>
        <v/>
      </c>
      <c r="L486" s="297">
        <f>J486/F486</f>
        <v/>
      </c>
      <c r="M486" s="151" t="n"/>
    </row>
    <row r="487" ht="15" customHeight="1" s="272">
      <c r="A487" s="287" t="n"/>
      <c r="B487" s="298" t="n"/>
      <c r="C487" s="298" t="n"/>
      <c r="D487" s="208" t="inlineStr">
        <is>
          <t>5月</t>
        </is>
      </c>
      <c r="E487" s="299" t="n"/>
      <c r="F487" s="300" t="n"/>
      <c r="G487" s="301" t="n"/>
      <c r="H487" s="302" t="n"/>
      <c r="I487" s="303" t="n"/>
      <c r="J487" s="304">
        <f>G487+H487+I487</f>
        <v/>
      </c>
      <c r="K487" s="304">
        <f>J487/E487</f>
        <v/>
      </c>
      <c r="L487" s="304">
        <f>J487/F487</f>
        <v/>
      </c>
      <c r="M487" s="158" t="n"/>
    </row>
    <row r="488" ht="15" customHeight="1" s="272">
      <c r="A488" s="287" t="n"/>
      <c r="B488" s="298" t="n"/>
      <c r="C488" s="298" t="n"/>
      <c r="D488" s="208" t="inlineStr">
        <is>
          <t>6月</t>
        </is>
      </c>
      <c r="E488" s="299" t="n"/>
      <c r="F488" s="300" t="n"/>
      <c r="G488" s="301" t="n"/>
      <c r="H488" s="302" t="n"/>
      <c r="I488" s="303" t="n"/>
      <c r="J488" s="304">
        <f>G488+H488+I488</f>
        <v/>
      </c>
      <c r="K488" s="304">
        <f>J488/E488</f>
        <v/>
      </c>
      <c r="L488" s="304">
        <f>J488/F488</f>
        <v/>
      </c>
      <c r="M488" s="158" t="n"/>
    </row>
    <row r="489" ht="15" customHeight="1" s="272">
      <c r="A489" s="287" t="n"/>
      <c r="B489" s="298" t="n"/>
      <c r="C489" s="298" t="n"/>
      <c r="D489" s="208" t="inlineStr">
        <is>
          <t>7月</t>
        </is>
      </c>
      <c r="E489" s="299" t="n"/>
      <c r="F489" s="300" t="n"/>
      <c r="G489" s="301" t="n"/>
      <c r="H489" s="302" t="n"/>
      <c r="I489" s="303" t="n"/>
      <c r="J489" s="304">
        <f>G489+H489+I489</f>
        <v/>
      </c>
      <c r="K489" s="304">
        <f>J489/E489</f>
        <v/>
      </c>
      <c r="L489" s="304">
        <f>J489/F489</f>
        <v/>
      </c>
      <c r="M489" s="158" t="n"/>
    </row>
    <row r="490" ht="15" customHeight="1" s="272">
      <c r="A490" s="287" t="n"/>
      <c r="B490" s="298" t="n"/>
      <c r="C490" s="298" t="n"/>
      <c r="D490" s="208" t="inlineStr">
        <is>
          <t>8月</t>
        </is>
      </c>
      <c r="E490" s="299" t="n"/>
      <c r="F490" s="300" t="n"/>
      <c r="G490" s="301" t="n"/>
      <c r="H490" s="302" t="n"/>
      <c r="I490" s="303" t="n"/>
      <c r="J490" s="304">
        <f>G490+H490+I490</f>
        <v/>
      </c>
      <c r="K490" s="304">
        <f>J490/E490</f>
        <v/>
      </c>
      <c r="L490" s="304">
        <f>J490/F490</f>
        <v/>
      </c>
      <c r="M490" s="158" t="n"/>
    </row>
    <row r="491" ht="15" customHeight="1" s="272">
      <c r="A491" s="287" t="n"/>
      <c r="B491" s="298" t="n"/>
      <c r="C491" s="298" t="n"/>
      <c r="D491" s="208" t="inlineStr">
        <is>
          <t>9月</t>
        </is>
      </c>
      <c r="E491" s="299" t="n"/>
      <c r="F491" s="300" t="n"/>
      <c r="G491" s="301" t="n"/>
      <c r="H491" s="302" t="n"/>
      <c r="I491" s="303" t="n"/>
      <c r="J491" s="304">
        <f>G491+H491+I491</f>
        <v/>
      </c>
      <c r="K491" s="304">
        <f>J491/E491</f>
        <v/>
      </c>
      <c r="L491" s="304">
        <f>J491/F491</f>
        <v/>
      </c>
      <c r="M491" s="158" t="n"/>
    </row>
    <row r="492" ht="15" customHeight="1" s="272">
      <c r="A492" s="287" t="n"/>
      <c r="B492" s="298" t="n"/>
      <c r="C492" s="298" t="n"/>
      <c r="D492" s="208" t="inlineStr">
        <is>
          <t>10月</t>
        </is>
      </c>
      <c r="E492" s="299" t="n"/>
      <c r="F492" s="300" t="n"/>
      <c r="G492" s="301" t="n"/>
      <c r="H492" s="302" t="n"/>
      <c r="I492" s="303" t="n"/>
      <c r="J492" s="304">
        <f>G492+H492+I492</f>
        <v/>
      </c>
      <c r="K492" s="304">
        <f>J492/E492</f>
        <v/>
      </c>
      <c r="L492" s="304">
        <f>J492/F492</f>
        <v/>
      </c>
      <c r="M492" s="158" t="n"/>
    </row>
    <row r="493" ht="15" customHeight="1" s="272">
      <c r="A493" s="287" t="n"/>
      <c r="B493" s="298" t="n"/>
      <c r="C493" s="298" t="n"/>
      <c r="D493" s="208" t="inlineStr">
        <is>
          <t>11月</t>
        </is>
      </c>
      <c r="E493" s="299" t="n"/>
      <c r="F493" s="300" t="n"/>
      <c r="G493" s="301" t="n"/>
      <c r="H493" s="302" t="n"/>
      <c r="I493" s="303" t="n"/>
      <c r="J493" s="304">
        <f>G493+H493+I493</f>
        <v/>
      </c>
      <c r="K493" s="304">
        <f>J493/E493</f>
        <v/>
      </c>
      <c r="L493" s="304">
        <f>J493/F493</f>
        <v/>
      </c>
      <c r="M493" s="158" t="n"/>
    </row>
    <row r="494" ht="15" customHeight="1" s="272">
      <c r="A494" s="287" t="n"/>
      <c r="B494" s="298" t="n"/>
      <c r="C494" s="298" t="n"/>
      <c r="D494" s="208" t="inlineStr">
        <is>
          <t>12月</t>
        </is>
      </c>
      <c r="E494" s="299" t="n"/>
      <c r="F494" s="300" t="n"/>
      <c r="G494" s="301" t="n"/>
      <c r="H494" s="302" t="n"/>
      <c r="I494" s="303" t="n"/>
      <c r="J494" s="304">
        <f>G494+H494+I494</f>
        <v/>
      </c>
      <c r="K494" s="304">
        <f>J494/E494</f>
        <v/>
      </c>
      <c r="L494" s="304">
        <f>J494/F494</f>
        <v/>
      </c>
      <c r="M494" s="158" t="n"/>
    </row>
    <row r="495" ht="15" customHeight="1" s="272">
      <c r="A495" s="287" t="n"/>
      <c r="B495" s="298" t="n"/>
      <c r="C495" s="298" t="n"/>
      <c r="D495" s="208" t="inlineStr">
        <is>
          <t>1月</t>
        </is>
      </c>
      <c r="E495" s="299" t="n"/>
      <c r="F495" s="300" t="n"/>
      <c r="G495" s="301" t="n"/>
      <c r="H495" s="302" t="n"/>
      <c r="I495" s="303" t="n"/>
      <c r="J495" s="304">
        <f>G495+H495+I495</f>
        <v/>
      </c>
      <c r="K495" s="304">
        <f>J495/E495</f>
        <v/>
      </c>
      <c r="L495" s="304">
        <f>J495/F495</f>
        <v/>
      </c>
      <c r="M495" s="158" t="n"/>
    </row>
    <row r="496" ht="15" customHeight="1" s="272">
      <c r="A496" s="287" t="n"/>
      <c r="B496" s="298" t="n"/>
      <c r="C496" s="298" t="n"/>
      <c r="D496" s="208" t="inlineStr">
        <is>
          <t>2月</t>
        </is>
      </c>
      <c r="E496" s="299" t="n"/>
      <c r="F496" s="300" t="n"/>
      <c r="G496" s="301" t="n"/>
      <c r="H496" s="302" t="n"/>
      <c r="I496" s="303" t="n"/>
      <c r="J496" s="304">
        <f>G496+H496+I496</f>
        <v/>
      </c>
      <c r="K496" s="304">
        <f>J496/E496</f>
        <v/>
      </c>
      <c r="L496" s="304">
        <f>J496/F496</f>
        <v/>
      </c>
      <c r="M496" s="158" t="n"/>
    </row>
    <row r="497" ht="15" customHeight="1" s="272">
      <c r="A497" s="290" t="n"/>
      <c r="B497" s="305" t="n"/>
      <c r="C497" s="305" t="n"/>
      <c r="D497" s="211" t="inlineStr">
        <is>
          <t>3月</t>
        </is>
      </c>
      <c r="E497" s="306" t="n"/>
      <c r="F497" s="307" t="n"/>
      <c r="G497" s="308" t="n"/>
      <c r="H497" s="309" t="n"/>
      <c r="I497" s="310" t="n"/>
      <c r="J497" s="311">
        <f>G497+H497+I497</f>
        <v/>
      </c>
      <c r="K497" s="311">
        <f>J497/E497</f>
        <v/>
      </c>
      <c r="L497" s="311">
        <f>J497/F497</f>
        <v/>
      </c>
      <c r="M497" s="165" t="n"/>
    </row>
    <row r="498" ht="15" customHeight="1" s="272">
      <c r="A498" s="291" t="n">
        <v>42</v>
      </c>
      <c r="B498" s="168" t="n"/>
      <c r="C498" s="168" t="n"/>
      <c r="D498" s="205" t="inlineStr">
        <is>
          <t>4月</t>
        </is>
      </c>
      <c r="E498" s="292" t="n"/>
      <c r="F498" s="293" t="n"/>
      <c r="G498" s="294" t="n"/>
      <c r="H498" s="295" t="n"/>
      <c r="I498" s="296" t="n"/>
      <c r="J498" s="297">
        <f>G498+H498+I498</f>
        <v/>
      </c>
      <c r="K498" s="297">
        <f>J498/E498</f>
        <v/>
      </c>
      <c r="L498" s="297">
        <f>J498/F498</f>
        <v/>
      </c>
      <c r="M498" s="151" t="n"/>
    </row>
    <row r="499" ht="15" customHeight="1" s="272">
      <c r="A499" s="287" t="n"/>
      <c r="B499" s="298" t="n"/>
      <c r="C499" s="298" t="n"/>
      <c r="D499" s="208" t="inlineStr">
        <is>
          <t>5月</t>
        </is>
      </c>
      <c r="E499" s="299" t="n"/>
      <c r="F499" s="300" t="n"/>
      <c r="G499" s="301" t="n"/>
      <c r="H499" s="302" t="n"/>
      <c r="I499" s="303" t="n"/>
      <c r="J499" s="304">
        <f>G499+H499+I499</f>
        <v/>
      </c>
      <c r="K499" s="304">
        <f>J499/E499</f>
        <v/>
      </c>
      <c r="L499" s="304">
        <f>J499/F499</f>
        <v/>
      </c>
      <c r="M499" s="158" t="n"/>
    </row>
    <row r="500" ht="15" customHeight="1" s="272">
      <c r="A500" s="287" t="n"/>
      <c r="B500" s="298" t="n"/>
      <c r="C500" s="298" t="n"/>
      <c r="D500" s="208" t="inlineStr">
        <is>
          <t>6月</t>
        </is>
      </c>
      <c r="E500" s="299" t="n"/>
      <c r="F500" s="300" t="n"/>
      <c r="G500" s="301" t="n"/>
      <c r="H500" s="302" t="n"/>
      <c r="I500" s="303" t="n"/>
      <c r="J500" s="304">
        <f>G500+H500+I500</f>
        <v/>
      </c>
      <c r="K500" s="304">
        <f>J500/E500</f>
        <v/>
      </c>
      <c r="L500" s="304">
        <f>J500/F500</f>
        <v/>
      </c>
      <c r="M500" s="158" t="n"/>
    </row>
    <row r="501" ht="15" customHeight="1" s="272">
      <c r="A501" s="287" t="n"/>
      <c r="B501" s="298" t="n"/>
      <c r="C501" s="298" t="n"/>
      <c r="D501" s="208" t="inlineStr">
        <is>
          <t>7月</t>
        </is>
      </c>
      <c r="E501" s="299" t="n"/>
      <c r="F501" s="300" t="n"/>
      <c r="G501" s="301" t="n"/>
      <c r="H501" s="302" t="n"/>
      <c r="I501" s="303" t="n"/>
      <c r="J501" s="304">
        <f>G501+H501+I501</f>
        <v/>
      </c>
      <c r="K501" s="304">
        <f>J501/E501</f>
        <v/>
      </c>
      <c r="L501" s="304">
        <f>J501/F501</f>
        <v/>
      </c>
      <c r="M501" s="158" t="n"/>
    </row>
    <row r="502" ht="15" customHeight="1" s="272">
      <c r="A502" s="287" t="n"/>
      <c r="B502" s="298" t="n"/>
      <c r="C502" s="298" t="n"/>
      <c r="D502" s="208" t="inlineStr">
        <is>
          <t>8月</t>
        </is>
      </c>
      <c r="E502" s="299" t="n"/>
      <c r="F502" s="300" t="n"/>
      <c r="G502" s="301" t="n"/>
      <c r="H502" s="302" t="n"/>
      <c r="I502" s="303" t="n"/>
      <c r="J502" s="304">
        <f>G502+H502+I502</f>
        <v/>
      </c>
      <c r="K502" s="304">
        <f>J502/E502</f>
        <v/>
      </c>
      <c r="L502" s="304">
        <f>J502/F502</f>
        <v/>
      </c>
      <c r="M502" s="158" t="n"/>
    </row>
    <row r="503" ht="15" customHeight="1" s="272">
      <c r="A503" s="287" t="n"/>
      <c r="B503" s="298" t="n"/>
      <c r="C503" s="298" t="n"/>
      <c r="D503" s="208" t="inlineStr">
        <is>
          <t>9月</t>
        </is>
      </c>
      <c r="E503" s="299" t="n"/>
      <c r="F503" s="300" t="n"/>
      <c r="G503" s="301" t="n"/>
      <c r="H503" s="302" t="n"/>
      <c r="I503" s="303" t="n"/>
      <c r="J503" s="304">
        <f>G503+H503+I503</f>
        <v/>
      </c>
      <c r="K503" s="304">
        <f>J503/E503</f>
        <v/>
      </c>
      <c r="L503" s="304">
        <f>J503/F503</f>
        <v/>
      </c>
      <c r="M503" s="158" t="n"/>
    </row>
    <row r="504" ht="15" customHeight="1" s="272">
      <c r="A504" s="287" t="n"/>
      <c r="B504" s="298" t="n"/>
      <c r="C504" s="298" t="n"/>
      <c r="D504" s="208" t="inlineStr">
        <is>
          <t>10月</t>
        </is>
      </c>
      <c r="E504" s="299" t="n"/>
      <c r="F504" s="300" t="n"/>
      <c r="G504" s="301" t="n"/>
      <c r="H504" s="302" t="n"/>
      <c r="I504" s="303" t="n"/>
      <c r="J504" s="304">
        <f>G504+H504+I504</f>
        <v/>
      </c>
      <c r="K504" s="304">
        <f>J504/E504</f>
        <v/>
      </c>
      <c r="L504" s="304">
        <f>J504/F504</f>
        <v/>
      </c>
      <c r="M504" s="158" t="n"/>
    </row>
    <row r="505" ht="15" customHeight="1" s="272">
      <c r="A505" s="287" t="n"/>
      <c r="B505" s="298" t="n"/>
      <c r="C505" s="298" t="n"/>
      <c r="D505" s="208" t="inlineStr">
        <is>
          <t>11月</t>
        </is>
      </c>
      <c r="E505" s="299" t="n"/>
      <c r="F505" s="300" t="n"/>
      <c r="G505" s="301" t="n"/>
      <c r="H505" s="302" t="n"/>
      <c r="I505" s="303" t="n"/>
      <c r="J505" s="304">
        <f>G505+H505+I505</f>
        <v/>
      </c>
      <c r="K505" s="304">
        <f>J505/E505</f>
        <v/>
      </c>
      <c r="L505" s="304">
        <f>J505/F505</f>
        <v/>
      </c>
      <c r="M505" s="158" t="n"/>
    </row>
    <row r="506" ht="15" customHeight="1" s="272">
      <c r="A506" s="287" t="n"/>
      <c r="B506" s="298" t="n"/>
      <c r="C506" s="298" t="n"/>
      <c r="D506" s="208" t="inlineStr">
        <is>
          <t>12月</t>
        </is>
      </c>
      <c r="E506" s="299" t="n"/>
      <c r="F506" s="300" t="n"/>
      <c r="G506" s="301" t="n"/>
      <c r="H506" s="302" t="n"/>
      <c r="I506" s="303" t="n"/>
      <c r="J506" s="304">
        <f>G506+H506+I506</f>
        <v/>
      </c>
      <c r="K506" s="304">
        <f>J506/E506</f>
        <v/>
      </c>
      <c r="L506" s="304">
        <f>J506/F506</f>
        <v/>
      </c>
      <c r="M506" s="158" t="n"/>
    </row>
    <row r="507" ht="15" customHeight="1" s="272">
      <c r="A507" s="287" t="n"/>
      <c r="B507" s="298" t="n"/>
      <c r="C507" s="298" t="n"/>
      <c r="D507" s="208" t="inlineStr">
        <is>
          <t>1月</t>
        </is>
      </c>
      <c r="E507" s="299" t="n"/>
      <c r="F507" s="300" t="n"/>
      <c r="G507" s="301" t="n"/>
      <c r="H507" s="302" t="n"/>
      <c r="I507" s="303" t="n"/>
      <c r="J507" s="304">
        <f>G507+H507+I507</f>
        <v/>
      </c>
      <c r="K507" s="304">
        <f>J507/E507</f>
        <v/>
      </c>
      <c r="L507" s="304">
        <f>J507/F507</f>
        <v/>
      </c>
      <c r="M507" s="158" t="n"/>
    </row>
    <row r="508" ht="15" customHeight="1" s="272">
      <c r="A508" s="287" t="n"/>
      <c r="B508" s="298" t="n"/>
      <c r="C508" s="298" t="n"/>
      <c r="D508" s="208" t="inlineStr">
        <is>
          <t>2月</t>
        </is>
      </c>
      <c r="E508" s="299" t="n"/>
      <c r="F508" s="300" t="n"/>
      <c r="G508" s="301" t="n"/>
      <c r="H508" s="302" t="n"/>
      <c r="I508" s="303" t="n"/>
      <c r="J508" s="304">
        <f>G508+H508+I508</f>
        <v/>
      </c>
      <c r="K508" s="304">
        <f>J508/E508</f>
        <v/>
      </c>
      <c r="L508" s="304">
        <f>J508/F508</f>
        <v/>
      </c>
      <c r="M508" s="158" t="n"/>
    </row>
    <row r="509" ht="15" customHeight="1" s="272">
      <c r="A509" s="290" t="n"/>
      <c r="B509" s="305" t="n"/>
      <c r="C509" s="305" t="n"/>
      <c r="D509" s="211" t="inlineStr">
        <is>
          <t>3月</t>
        </is>
      </c>
      <c r="E509" s="306" t="n"/>
      <c r="F509" s="307" t="n"/>
      <c r="G509" s="308" t="n"/>
      <c r="H509" s="309" t="n"/>
      <c r="I509" s="310" t="n"/>
      <c r="J509" s="311">
        <f>G509+H509+I509</f>
        <v/>
      </c>
      <c r="K509" s="311">
        <f>J509/E509</f>
        <v/>
      </c>
      <c r="L509" s="311">
        <f>J509/F509</f>
        <v/>
      </c>
      <c r="M509" s="165" t="n"/>
    </row>
    <row r="510" ht="15" customHeight="1" s="272">
      <c r="A510" s="291" t="n">
        <v>43</v>
      </c>
      <c r="B510" s="168" t="n"/>
      <c r="C510" s="168" t="n"/>
      <c r="D510" s="205" t="inlineStr">
        <is>
          <t>4月</t>
        </is>
      </c>
      <c r="E510" s="292" t="n"/>
      <c r="F510" s="293" t="n"/>
      <c r="G510" s="294" t="n"/>
      <c r="H510" s="295" t="n"/>
      <c r="I510" s="296" t="n"/>
      <c r="J510" s="297">
        <f>G510+H510+I510</f>
        <v/>
      </c>
      <c r="K510" s="297">
        <f>J510/E510</f>
        <v/>
      </c>
      <c r="L510" s="297">
        <f>J510/F510</f>
        <v/>
      </c>
      <c r="M510" s="151" t="n"/>
    </row>
    <row r="511" ht="15" customHeight="1" s="272">
      <c r="A511" s="287" t="n"/>
      <c r="B511" s="298" t="n"/>
      <c r="C511" s="298" t="n"/>
      <c r="D511" s="208" t="inlineStr">
        <is>
          <t>5月</t>
        </is>
      </c>
      <c r="E511" s="299" t="n"/>
      <c r="F511" s="300" t="n"/>
      <c r="G511" s="301" t="n"/>
      <c r="H511" s="302" t="n"/>
      <c r="I511" s="303" t="n"/>
      <c r="J511" s="304">
        <f>G511+H511+I511</f>
        <v/>
      </c>
      <c r="K511" s="304">
        <f>J511/E511</f>
        <v/>
      </c>
      <c r="L511" s="304">
        <f>J511/F511</f>
        <v/>
      </c>
      <c r="M511" s="158" t="n"/>
    </row>
    <row r="512" ht="15" customHeight="1" s="272">
      <c r="A512" s="287" t="n"/>
      <c r="B512" s="298" t="n"/>
      <c r="C512" s="298" t="n"/>
      <c r="D512" s="208" t="inlineStr">
        <is>
          <t>6月</t>
        </is>
      </c>
      <c r="E512" s="299" t="n"/>
      <c r="F512" s="300" t="n"/>
      <c r="G512" s="301" t="n"/>
      <c r="H512" s="302" t="n"/>
      <c r="I512" s="303" t="n"/>
      <c r="J512" s="304">
        <f>G512+H512+I512</f>
        <v/>
      </c>
      <c r="K512" s="304">
        <f>J512/E512</f>
        <v/>
      </c>
      <c r="L512" s="304">
        <f>J512/F512</f>
        <v/>
      </c>
      <c r="M512" s="158" t="n"/>
    </row>
    <row r="513" ht="15" customHeight="1" s="272">
      <c r="A513" s="287" t="n"/>
      <c r="B513" s="298" t="n"/>
      <c r="C513" s="298" t="n"/>
      <c r="D513" s="208" t="inlineStr">
        <is>
          <t>7月</t>
        </is>
      </c>
      <c r="E513" s="299" t="n"/>
      <c r="F513" s="300" t="n"/>
      <c r="G513" s="301" t="n"/>
      <c r="H513" s="302" t="n"/>
      <c r="I513" s="303" t="n"/>
      <c r="J513" s="304">
        <f>G513+H513+I513</f>
        <v/>
      </c>
      <c r="K513" s="304">
        <f>J513/E513</f>
        <v/>
      </c>
      <c r="L513" s="304">
        <f>J513/F513</f>
        <v/>
      </c>
      <c r="M513" s="158" t="n"/>
    </row>
    <row r="514" ht="15" customHeight="1" s="272">
      <c r="A514" s="287" t="n"/>
      <c r="B514" s="298" t="n"/>
      <c r="C514" s="298" t="n"/>
      <c r="D514" s="208" t="inlineStr">
        <is>
          <t>8月</t>
        </is>
      </c>
      <c r="E514" s="299" t="n"/>
      <c r="F514" s="300" t="n"/>
      <c r="G514" s="301" t="n"/>
      <c r="H514" s="302" t="n"/>
      <c r="I514" s="303" t="n"/>
      <c r="J514" s="304">
        <f>G514+H514+I514</f>
        <v/>
      </c>
      <c r="K514" s="304">
        <f>J514/E514</f>
        <v/>
      </c>
      <c r="L514" s="304">
        <f>J514/F514</f>
        <v/>
      </c>
      <c r="M514" s="158" t="n"/>
    </row>
    <row r="515" ht="15" customHeight="1" s="272">
      <c r="A515" s="287" t="n"/>
      <c r="B515" s="298" t="n"/>
      <c r="C515" s="298" t="n"/>
      <c r="D515" s="208" t="inlineStr">
        <is>
          <t>9月</t>
        </is>
      </c>
      <c r="E515" s="299" t="n"/>
      <c r="F515" s="300" t="n"/>
      <c r="G515" s="301" t="n"/>
      <c r="H515" s="302" t="n"/>
      <c r="I515" s="303" t="n"/>
      <c r="J515" s="304">
        <f>G515+H515+I515</f>
        <v/>
      </c>
      <c r="K515" s="304">
        <f>J515/E515</f>
        <v/>
      </c>
      <c r="L515" s="304">
        <f>J515/F515</f>
        <v/>
      </c>
      <c r="M515" s="158" t="n"/>
    </row>
    <row r="516" ht="15" customHeight="1" s="272">
      <c r="A516" s="287" t="n"/>
      <c r="B516" s="298" t="n"/>
      <c r="C516" s="298" t="n"/>
      <c r="D516" s="208" t="inlineStr">
        <is>
          <t>10月</t>
        </is>
      </c>
      <c r="E516" s="299" t="n"/>
      <c r="F516" s="300" t="n"/>
      <c r="G516" s="301" t="n"/>
      <c r="H516" s="302" t="n"/>
      <c r="I516" s="303" t="n"/>
      <c r="J516" s="304">
        <f>G516+H516+I516</f>
        <v/>
      </c>
      <c r="K516" s="304">
        <f>J516/E516</f>
        <v/>
      </c>
      <c r="L516" s="304">
        <f>J516/F516</f>
        <v/>
      </c>
      <c r="M516" s="158" t="n"/>
    </row>
    <row r="517" ht="15" customHeight="1" s="272">
      <c r="A517" s="287" t="n"/>
      <c r="B517" s="298" t="n"/>
      <c r="C517" s="298" t="n"/>
      <c r="D517" s="208" t="inlineStr">
        <is>
          <t>11月</t>
        </is>
      </c>
      <c r="E517" s="299" t="n"/>
      <c r="F517" s="300" t="n"/>
      <c r="G517" s="301" t="n"/>
      <c r="H517" s="302" t="n"/>
      <c r="I517" s="303" t="n"/>
      <c r="J517" s="304">
        <f>G517+H517+I517</f>
        <v/>
      </c>
      <c r="K517" s="304">
        <f>J517/E517</f>
        <v/>
      </c>
      <c r="L517" s="304">
        <f>J517/F517</f>
        <v/>
      </c>
      <c r="M517" s="158" t="n"/>
    </row>
    <row r="518" ht="15" customHeight="1" s="272">
      <c r="A518" s="287" t="n"/>
      <c r="B518" s="298" t="n"/>
      <c r="C518" s="298" t="n"/>
      <c r="D518" s="208" t="inlineStr">
        <is>
          <t>12月</t>
        </is>
      </c>
      <c r="E518" s="299" t="n"/>
      <c r="F518" s="300" t="n"/>
      <c r="G518" s="301" t="n"/>
      <c r="H518" s="302" t="n"/>
      <c r="I518" s="303" t="n"/>
      <c r="J518" s="304">
        <f>G518+H518+I518</f>
        <v/>
      </c>
      <c r="K518" s="304">
        <f>J518/E518</f>
        <v/>
      </c>
      <c r="L518" s="304">
        <f>J518/F518</f>
        <v/>
      </c>
      <c r="M518" s="158" t="n"/>
    </row>
    <row r="519" ht="15" customHeight="1" s="272">
      <c r="A519" s="287" t="n"/>
      <c r="B519" s="298" t="n"/>
      <c r="C519" s="298" t="n"/>
      <c r="D519" s="208" t="inlineStr">
        <is>
          <t>1月</t>
        </is>
      </c>
      <c r="E519" s="299" t="n"/>
      <c r="F519" s="300" t="n"/>
      <c r="G519" s="301" t="n"/>
      <c r="H519" s="302" t="n"/>
      <c r="I519" s="303" t="n"/>
      <c r="J519" s="304">
        <f>G519+H519+I519</f>
        <v/>
      </c>
      <c r="K519" s="304">
        <f>J519/E519</f>
        <v/>
      </c>
      <c r="L519" s="304">
        <f>J519/F519</f>
        <v/>
      </c>
      <c r="M519" s="158" t="n"/>
    </row>
    <row r="520" ht="15" customHeight="1" s="272">
      <c r="A520" s="287" t="n"/>
      <c r="B520" s="298" t="n"/>
      <c r="C520" s="298" t="n"/>
      <c r="D520" s="208" t="inlineStr">
        <is>
          <t>2月</t>
        </is>
      </c>
      <c r="E520" s="299" t="n"/>
      <c r="F520" s="300" t="n"/>
      <c r="G520" s="301" t="n"/>
      <c r="H520" s="302" t="n"/>
      <c r="I520" s="303" t="n"/>
      <c r="J520" s="304">
        <f>G520+H520+I520</f>
        <v/>
      </c>
      <c r="K520" s="304">
        <f>J520/E520</f>
        <v/>
      </c>
      <c r="L520" s="304">
        <f>J520/F520</f>
        <v/>
      </c>
      <c r="M520" s="158" t="n"/>
    </row>
    <row r="521" ht="15" customHeight="1" s="272">
      <c r="A521" s="290" t="n"/>
      <c r="B521" s="305" t="n"/>
      <c r="C521" s="305" t="n"/>
      <c r="D521" s="211" t="inlineStr">
        <is>
          <t>3月</t>
        </is>
      </c>
      <c r="E521" s="306" t="n"/>
      <c r="F521" s="307" t="n"/>
      <c r="G521" s="308" t="n"/>
      <c r="H521" s="309" t="n"/>
      <c r="I521" s="310" t="n"/>
      <c r="J521" s="312">
        <f>G521+H521+I521</f>
        <v/>
      </c>
      <c r="K521" s="312">
        <f>J521/E521</f>
        <v/>
      </c>
      <c r="L521" s="312">
        <f>J521/F521</f>
        <v/>
      </c>
      <c r="M521" s="165" t="n"/>
    </row>
    <row r="522" ht="15" customHeight="1" s="272">
      <c r="A522" s="291" t="n">
        <v>44</v>
      </c>
      <c r="B522" s="168" t="n"/>
      <c r="C522" s="168" t="n"/>
      <c r="D522" s="205" t="inlineStr">
        <is>
          <t>4月</t>
        </is>
      </c>
      <c r="E522" s="292" t="n"/>
      <c r="F522" s="293" t="n"/>
      <c r="G522" s="294" t="n"/>
      <c r="H522" s="295" t="n"/>
      <c r="I522" s="296" t="n"/>
      <c r="J522" s="297">
        <f>G522+H522+I522</f>
        <v/>
      </c>
      <c r="K522" s="297">
        <f>J522/E522</f>
        <v/>
      </c>
      <c r="L522" s="297">
        <f>J522/F522</f>
        <v/>
      </c>
      <c r="M522" s="151" t="n"/>
    </row>
    <row r="523" ht="15" customHeight="1" s="272">
      <c r="A523" s="287" t="n"/>
      <c r="B523" s="298" t="n"/>
      <c r="C523" s="298" t="n"/>
      <c r="D523" s="208" t="inlineStr">
        <is>
          <t>5月</t>
        </is>
      </c>
      <c r="E523" s="299" t="n"/>
      <c r="F523" s="300" t="n"/>
      <c r="G523" s="301" t="n"/>
      <c r="H523" s="302" t="n"/>
      <c r="I523" s="303" t="n"/>
      <c r="J523" s="304">
        <f>G523+H523+I523</f>
        <v/>
      </c>
      <c r="K523" s="304">
        <f>J523/E523</f>
        <v/>
      </c>
      <c r="L523" s="304">
        <f>J523/F523</f>
        <v/>
      </c>
      <c r="M523" s="158" t="n"/>
    </row>
    <row r="524" ht="15" customHeight="1" s="272">
      <c r="A524" s="287" t="n"/>
      <c r="B524" s="298" t="n"/>
      <c r="C524" s="298" t="n"/>
      <c r="D524" s="208" t="inlineStr">
        <is>
          <t>6月</t>
        </is>
      </c>
      <c r="E524" s="299" t="n"/>
      <c r="F524" s="300" t="n"/>
      <c r="G524" s="301" t="n"/>
      <c r="H524" s="302" t="n"/>
      <c r="I524" s="303" t="n"/>
      <c r="J524" s="304">
        <f>G524+H524+I524</f>
        <v/>
      </c>
      <c r="K524" s="304">
        <f>J524/E524</f>
        <v/>
      </c>
      <c r="L524" s="304">
        <f>J524/F524</f>
        <v/>
      </c>
      <c r="M524" s="158" t="n"/>
    </row>
    <row r="525" ht="15" customHeight="1" s="272">
      <c r="A525" s="287" t="n"/>
      <c r="B525" s="298" t="n"/>
      <c r="C525" s="298" t="n"/>
      <c r="D525" s="208" t="inlineStr">
        <is>
          <t>7月</t>
        </is>
      </c>
      <c r="E525" s="299" t="n"/>
      <c r="F525" s="300" t="n"/>
      <c r="G525" s="301" t="n"/>
      <c r="H525" s="302" t="n"/>
      <c r="I525" s="303" t="n"/>
      <c r="J525" s="304">
        <f>G525+H525+I525</f>
        <v/>
      </c>
      <c r="K525" s="304">
        <f>J525/E525</f>
        <v/>
      </c>
      <c r="L525" s="304">
        <f>J525/F525</f>
        <v/>
      </c>
      <c r="M525" s="158" t="n"/>
    </row>
    <row r="526" ht="15" customHeight="1" s="272">
      <c r="A526" s="287" t="n"/>
      <c r="B526" s="298" t="n"/>
      <c r="C526" s="298" t="n"/>
      <c r="D526" s="208" t="inlineStr">
        <is>
          <t>8月</t>
        </is>
      </c>
      <c r="E526" s="299" t="n"/>
      <c r="F526" s="300" t="n"/>
      <c r="G526" s="301" t="n"/>
      <c r="H526" s="302" t="n"/>
      <c r="I526" s="303" t="n"/>
      <c r="J526" s="304">
        <f>G526+H526+I526</f>
        <v/>
      </c>
      <c r="K526" s="304">
        <f>J526/E526</f>
        <v/>
      </c>
      <c r="L526" s="304">
        <f>J526/F526</f>
        <v/>
      </c>
      <c r="M526" s="158" t="n"/>
    </row>
    <row r="527" ht="15" customHeight="1" s="272">
      <c r="A527" s="287" t="n"/>
      <c r="B527" s="298" t="n"/>
      <c r="C527" s="298" t="n"/>
      <c r="D527" s="208" t="inlineStr">
        <is>
          <t>9月</t>
        </is>
      </c>
      <c r="E527" s="299" t="n"/>
      <c r="F527" s="300" t="n"/>
      <c r="G527" s="301" t="n"/>
      <c r="H527" s="302" t="n"/>
      <c r="I527" s="303" t="n"/>
      <c r="J527" s="304">
        <f>G527+H527+I527</f>
        <v/>
      </c>
      <c r="K527" s="304">
        <f>J527/E527</f>
        <v/>
      </c>
      <c r="L527" s="304">
        <f>J527/F527</f>
        <v/>
      </c>
      <c r="M527" s="158" t="n"/>
    </row>
    <row r="528" ht="15" customHeight="1" s="272">
      <c r="A528" s="287" t="n"/>
      <c r="B528" s="298" t="n"/>
      <c r="C528" s="298" t="n"/>
      <c r="D528" s="208" t="inlineStr">
        <is>
          <t>10月</t>
        </is>
      </c>
      <c r="E528" s="299" t="n"/>
      <c r="F528" s="300" t="n"/>
      <c r="G528" s="301" t="n"/>
      <c r="H528" s="302" t="n"/>
      <c r="I528" s="303" t="n"/>
      <c r="J528" s="304">
        <f>G528+H528+I528</f>
        <v/>
      </c>
      <c r="K528" s="304">
        <f>J528/E528</f>
        <v/>
      </c>
      <c r="L528" s="304">
        <f>J528/F528</f>
        <v/>
      </c>
      <c r="M528" s="158" t="n"/>
    </row>
    <row r="529" ht="15" customHeight="1" s="272">
      <c r="A529" s="287" t="n"/>
      <c r="B529" s="298" t="n"/>
      <c r="C529" s="298" t="n"/>
      <c r="D529" s="208" t="inlineStr">
        <is>
          <t>11月</t>
        </is>
      </c>
      <c r="E529" s="299" t="n"/>
      <c r="F529" s="300" t="n"/>
      <c r="G529" s="301" t="n"/>
      <c r="H529" s="302" t="n"/>
      <c r="I529" s="303" t="n"/>
      <c r="J529" s="304">
        <f>G529+H529+I529</f>
        <v/>
      </c>
      <c r="K529" s="304">
        <f>J529/E529</f>
        <v/>
      </c>
      <c r="L529" s="304">
        <f>J529/F529</f>
        <v/>
      </c>
      <c r="M529" s="158" t="n"/>
    </row>
    <row r="530" ht="15" customHeight="1" s="272">
      <c r="A530" s="287" t="n"/>
      <c r="B530" s="298" t="n"/>
      <c r="C530" s="298" t="n"/>
      <c r="D530" s="208" t="inlineStr">
        <is>
          <t>12月</t>
        </is>
      </c>
      <c r="E530" s="299" t="n"/>
      <c r="F530" s="300" t="n"/>
      <c r="G530" s="301" t="n"/>
      <c r="H530" s="302" t="n"/>
      <c r="I530" s="303" t="n"/>
      <c r="J530" s="304">
        <f>G530+H530+I530</f>
        <v/>
      </c>
      <c r="K530" s="304">
        <f>J530/E530</f>
        <v/>
      </c>
      <c r="L530" s="304">
        <f>J530/F530</f>
        <v/>
      </c>
      <c r="M530" s="158" t="n"/>
    </row>
    <row r="531" ht="15" customHeight="1" s="272">
      <c r="A531" s="287" t="n"/>
      <c r="B531" s="298" t="n"/>
      <c r="C531" s="298" t="n"/>
      <c r="D531" s="208" t="inlineStr">
        <is>
          <t>1月</t>
        </is>
      </c>
      <c r="E531" s="299" t="n"/>
      <c r="F531" s="300" t="n"/>
      <c r="G531" s="301" t="n"/>
      <c r="H531" s="302" t="n"/>
      <c r="I531" s="303" t="n"/>
      <c r="J531" s="304">
        <f>G531+H531+I531</f>
        <v/>
      </c>
      <c r="K531" s="304">
        <f>J531/E531</f>
        <v/>
      </c>
      <c r="L531" s="304">
        <f>J531/F531</f>
        <v/>
      </c>
      <c r="M531" s="158" t="n"/>
    </row>
    <row r="532" ht="15" customHeight="1" s="272">
      <c r="A532" s="287" t="n"/>
      <c r="B532" s="298" t="n"/>
      <c r="C532" s="298" t="n"/>
      <c r="D532" s="208" t="inlineStr">
        <is>
          <t>2月</t>
        </is>
      </c>
      <c r="E532" s="299" t="n"/>
      <c r="F532" s="300" t="n"/>
      <c r="G532" s="301" t="n"/>
      <c r="H532" s="302" t="n"/>
      <c r="I532" s="303" t="n"/>
      <c r="J532" s="304">
        <f>G532+H532+I532</f>
        <v/>
      </c>
      <c r="K532" s="304">
        <f>J532/E532</f>
        <v/>
      </c>
      <c r="L532" s="304">
        <f>J532/F532</f>
        <v/>
      </c>
      <c r="M532" s="158" t="n"/>
    </row>
    <row r="533" ht="15" customHeight="1" s="272">
      <c r="A533" s="290" t="n"/>
      <c r="B533" s="305" t="n"/>
      <c r="C533" s="305" t="n"/>
      <c r="D533" s="211" t="inlineStr">
        <is>
          <t>3月</t>
        </is>
      </c>
      <c r="E533" s="306" t="n"/>
      <c r="F533" s="307" t="n"/>
      <c r="G533" s="308" t="n"/>
      <c r="H533" s="309" t="n"/>
      <c r="I533" s="310" t="n"/>
      <c r="J533" s="311">
        <f>G533+H533+I533</f>
        <v/>
      </c>
      <c r="K533" s="311">
        <f>J533/E533</f>
        <v/>
      </c>
      <c r="L533" s="311">
        <f>J533/F533</f>
        <v/>
      </c>
      <c r="M533" s="165" t="n"/>
    </row>
    <row r="534" ht="15" customHeight="1" s="272">
      <c r="A534" s="291" t="n">
        <v>45</v>
      </c>
      <c r="B534" s="168" t="n"/>
      <c r="C534" s="168" t="n"/>
      <c r="D534" s="205" t="inlineStr">
        <is>
          <t>4月</t>
        </is>
      </c>
      <c r="E534" s="292" t="n"/>
      <c r="F534" s="293" t="n"/>
      <c r="G534" s="294" t="n"/>
      <c r="H534" s="295" t="n"/>
      <c r="I534" s="296" t="n"/>
      <c r="J534" s="297">
        <f>G534+H534+I534</f>
        <v/>
      </c>
      <c r="K534" s="297">
        <f>J534/E534</f>
        <v/>
      </c>
      <c r="L534" s="297">
        <f>J534/F534</f>
        <v/>
      </c>
      <c r="M534" s="151" t="n"/>
    </row>
    <row r="535" ht="15" customHeight="1" s="272">
      <c r="A535" s="287" t="n"/>
      <c r="B535" s="298" t="n"/>
      <c r="C535" s="298" t="n"/>
      <c r="D535" s="208" t="inlineStr">
        <is>
          <t>5月</t>
        </is>
      </c>
      <c r="E535" s="299" t="n"/>
      <c r="F535" s="300" t="n"/>
      <c r="G535" s="301" t="n"/>
      <c r="H535" s="302" t="n"/>
      <c r="I535" s="303" t="n"/>
      <c r="J535" s="304">
        <f>G535+H535+I535</f>
        <v/>
      </c>
      <c r="K535" s="304">
        <f>J535/E535</f>
        <v/>
      </c>
      <c r="L535" s="304">
        <f>J535/F535</f>
        <v/>
      </c>
      <c r="M535" s="158" t="n"/>
    </row>
    <row r="536" ht="15" customHeight="1" s="272">
      <c r="A536" s="287" t="n"/>
      <c r="B536" s="298" t="n"/>
      <c r="C536" s="298" t="n"/>
      <c r="D536" s="208" t="inlineStr">
        <is>
          <t>6月</t>
        </is>
      </c>
      <c r="E536" s="299" t="n"/>
      <c r="F536" s="300" t="n"/>
      <c r="G536" s="301" t="n"/>
      <c r="H536" s="302" t="n"/>
      <c r="I536" s="303" t="n"/>
      <c r="J536" s="304">
        <f>G536+H536+I536</f>
        <v/>
      </c>
      <c r="K536" s="304">
        <f>J536/E536</f>
        <v/>
      </c>
      <c r="L536" s="304">
        <f>J536/F536</f>
        <v/>
      </c>
      <c r="M536" s="158" t="n"/>
    </row>
    <row r="537" ht="15" customHeight="1" s="272">
      <c r="A537" s="287" t="n"/>
      <c r="B537" s="298" t="n"/>
      <c r="C537" s="298" t="n"/>
      <c r="D537" s="208" t="inlineStr">
        <is>
          <t>7月</t>
        </is>
      </c>
      <c r="E537" s="299" t="n"/>
      <c r="F537" s="300" t="n"/>
      <c r="G537" s="301" t="n"/>
      <c r="H537" s="302" t="n"/>
      <c r="I537" s="303" t="n"/>
      <c r="J537" s="304">
        <f>G537+H537+I537</f>
        <v/>
      </c>
      <c r="K537" s="304">
        <f>J537/E537</f>
        <v/>
      </c>
      <c r="L537" s="304">
        <f>J537/F537</f>
        <v/>
      </c>
      <c r="M537" s="158" t="n"/>
    </row>
    <row r="538" ht="15" customHeight="1" s="272">
      <c r="A538" s="287" t="n"/>
      <c r="B538" s="298" t="n"/>
      <c r="C538" s="298" t="n"/>
      <c r="D538" s="208" t="inlineStr">
        <is>
          <t>8月</t>
        </is>
      </c>
      <c r="E538" s="299" t="n"/>
      <c r="F538" s="300" t="n"/>
      <c r="G538" s="301" t="n"/>
      <c r="H538" s="302" t="n"/>
      <c r="I538" s="303" t="n"/>
      <c r="J538" s="304">
        <f>G538+H538+I538</f>
        <v/>
      </c>
      <c r="K538" s="304">
        <f>J538/E538</f>
        <v/>
      </c>
      <c r="L538" s="304">
        <f>J538/F538</f>
        <v/>
      </c>
      <c r="M538" s="158" t="n"/>
    </row>
    <row r="539" ht="15" customHeight="1" s="272">
      <c r="A539" s="287" t="n"/>
      <c r="B539" s="298" t="n"/>
      <c r="C539" s="298" t="n"/>
      <c r="D539" s="208" t="inlineStr">
        <is>
          <t>9月</t>
        </is>
      </c>
      <c r="E539" s="299" t="n"/>
      <c r="F539" s="300" t="n"/>
      <c r="G539" s="301" t="n"/>
      <c r="H539" s="302" t="n"/>
      <c r="I539" s="303" t="n"/>
      <c r="J539" s="304">
        <f>G539+H539+I539</f>
        <v/>
      </c>
      <c r="K539" s="304">
        <f>J539/E539</f>
        <v/>
      </c>
      <c r="L539" s="304">
        <f>J539/F539</f>
        <v/>
      </c>
      <c r="M539" s="158" t="n"/>
    </row>
    <row r="540" ht="15" customHeight="1" s="272">
      <c r="A540" s="287" t="n"/>
      <c r="B540" s="298" t="n"/>
      <c r="C540" s="298" t="n"/>
      <c r="D540" s="208" t="inlineStr">
        <is>
          <t>10月</t>
        </is>
      </c>
      <c r="E540" s="299" t="n"/>
      <c r="F540" s="300" t="n"/>
      <c r="G540" s="301" t="n"/>
      <c r="H540" s="302" t="n"/>
      <c r="I540" s="303" t="n"/>
      <c r="J540" s="304">
        <f>G540+H540+I540</f>
        <v/>
      </c>
      <c r="K540" s="304">
        <f>J540/E540</f>
        <v/>
      </c>
      <c r="L540" s="304">
        <f>J540/F540</f>
        <v/>
      </c>
      <c r="M540" s="158" t="n"/>
    </row>
    <row r="541" ht="15" customHeight="1" s="272">
      <c r="A541" s="287" t="n"/>
      <c r="B541" s="298" t="n"/>
      <c r="C541" s="298" t="n"/>
      <c r="D541" s="208" t="inlineStr">
        <is>
          <t>11月</t>
        </is>
      </c>
      <c r="E541" s="299" t="n"/>
      <c r="F541" s="300" t="n"/>
      <c r="G541" s="301" t="n"/>
      <c r="H541" s="302" t="n"/>
      <c r="I541" s="303" t="n"/>
      <c r="J541" s="304">
        <f>G541+H541+I541</f>
        <v/>
      </c>
      <c r="K541" s="304">
        <f>J541/E541</f>
        <v/>
      </c>
      <c r="L541" s="304">
        <f>J541/F541</f>
        <v/>
      </c>
      <c r="M541" s="158" t="n"/>
    </row>
    <row r="542" ht="15" customHeight="1" s="272">
      <c r="A542" s="287" t="n"/>
      <c r="B542" s="298" t="n"/>
      <c r="C542" s="298" t="n"/>
      <c r="D542" s="208" t="inlineStr">
        <is>
          <t>12月</t>
        </is>
      </c>
      <c r="E542" s="299" t="n"/>
      <c r="F542" s="300" t="n"/>
      <c r="G542" s="301" t="n"/>
      <c r="H542" s="302" t="n"/>
      <c r="I542" s="303" t="n"/>
      <c r="J542" s="304">
        <f>G542+H542+I542</f>
        <v/>
      </c>
      <c r="K542" s="304">
        <f>J542/E542</f>
        <v/>
      </c>
      <c r="L542" s="304">
        <f>J542/F542</f>
        <v/>
      </c>
      <c r="M542" s="158" t="n"/>
    </row>
    <row r="543" ht="15" customHeight="1" s="272">
      <c r="A543" s="287" t="n"/>
      <c r="B543" s="298" t="n"/>
      <c r="C543" s="298" t="n"/>
      <c r="D543" s="208" t="inlineStr">
        <is>
          <t>1月</t>
        </is>
      </c>
      <c r="E543" s="299" t="n"/>
      <c r="F543" s="300" t="n"/>
      <c r="G543" s="301" t="n"/>
      <c r="H543" s="302" t="n"/>
      <c r="I543" s="303" t="n"/>
      <c r="J543" s="304">
        <f>G543+H543+I543</f>
        <v/>
      </c>
      <c r="K543" s="304">
        <f>J543/E543</f>
        <v/>
      </c>
      <c r="L543" s="304">
        <f>J543/F543</f>
        <v/>
      </c>
      <c r="M543" s="158" t="n"/>
    </row>
    <row r="544" ht="15" customHeight="1" s="272">
      <c r="A544" s="287" t="n"/>
      <c r="B544" s="298" t="n"/>
      <c r="C544" s="298" t="n"/>
      <c r="D544" s="208" t="inlineStr">
        <is>
          <t>2月</t>
        </is>
      </c>
      <c r="E544" s="299" t="n"/>
      <c r="F544" s="300" t="n"/>
      <c r="G544" s="301" t="n"/>
      <c r="H544" s="302" t="n"/>
      <c r="I544" s="303" t="n"/>
      <c r="J544" s="304">
        <f>G544+H544+I544</f>
        <v/>
      </c>
      <c r="K544" s="304">
        <f>J544/E544</f>
        <v/>
      </c>
      <c r="L544" s="304">
        <f>J544/F544</f>
        <v/>
      </c>
      <c r="M544" s="158" t="n"/>
    </row>
    <row r="545" ht="15" customHeight="1" s="272">
      <c r="A545" s="290" t="n"/>
      <c r="B545" s="305" t="n"/>
      <c r="C545" s="305" t="n"/>
      <c r="D545" s="211" t="inlineStr">
        <is>
          <t>3月</t>
        </is>
      </c>
      <c r="E545" s="306" t="n"/>
      <c r="F545" s="307" t="n"/>
      <c r="G545" s="308" t="n"/>
      <c r="H545" s="309" t="n"/>
      <c r="I545" s="310" t="n"/>
      <c r="J545" s="311">
        <f>G545+H545+I545</f>
        <v/>
      </c>
      <c r="K545" s="311">
        <f>J545/E545</f>
        <v/>
      </c>
      <c r="L545" s="311">
        <f>J545/F545</f>
        <v/>
      </c>
      <c r="M545" s="165" t="n"/>
    </row>
    <row r="546" ht="15" customHeight="1" s="272">
      <c r="A546" s="291" t="n">
        <v>46</v>
      </c>
      <c r="B546" s="168" t="n"/>
      <c r="C546" s="168" t="n"/>
      <c r="D546" s="205" t="inlineStr">
        <is>
          <t>4月</t>
        </is>
      </c>
      <c r="E546" s="292" t="n"/>
      <c r="F546" s="293" t="n"/>
      <c r="G546" s="294" t="n"/>
      <c r="H546" s="295" t="n"/>
      <c r="I546" s="296" t="n"/>
      <c r="J546" s="297">
        <f>G546+H546+I546</f>
        <v/>
      </c>
      <c r="K546" s="297">
        <f>J546/E546</f>
        <v/>
      </c>
      <c r="L546" s="297">
        <f>J546/F546</f>
        <v/>
      </c>
      <c r="M546" s="151" t="n"/>
    </row>
    <row r="547" ht="15" customHeight="1" s="272">
      <c r="A547" s="287" t="n"/>
      <c r="B547" s="298" t="n"/>
      <c r="C547" s="298" t="n"/>
      <c r="D547" s="208" t="inlineStr">
        <is>
          <t>5月</t>
        </is>
      </c>
      <c r="E547" s="299" t="n"/>
      <c r="F547" s="300" t="n"/>
      <c r="G547" s="301" t="n"/>
      <c r="H547" s="302" t="n"/>
      <c r="I547" s="303" t="n"/>
      <c r="J547" s="304">
        <f>G547+H547+I547</f>
        <v/>
      </c>
      <c r="K547" s="304">
        <f>J547/E547</f>
        <v/>
      </c>
      <c r="L547" s="304">
        <f>J547/F547</f>
        <v/>
      </c>
      <c r="M547" s="158" t="n"/>
    </row>
    <row r="548" ht="15" customHeight="1" s="272">
      <c r="A548" s="287" t="n"/>
      <c r="B548" s="298" t="n"/>
      <c r="C548" s="298" t="n"/>
      <c r="D548" s="208" t="inlineStr">
        <is>
          <t>6月</t>
        </is>
      </c>
      <c r="E548" s="299" t="n"/>
      <c r="F548" s="300" t="n"/>
      <c r="G548" s="301" t="n"/>
      <c r="H548" s="302" t="n"/>
      <c r="I548" s="303" t="n"/>
      <c r="J548" s="304">
        <f>G548+H548+I548</f>
        <v/>
      </c>
      <c r="K548" s="304">
        <f>J548/E548</f>
        <v/>
      </c>
      <c r="L548" s="304">
        <f>J548/F548</f>
        <v/>
      </c>
      <c r="M548" s="158" t="n"/>
    </row>
    <row r="549" ht="15" customHeight="1" s="272">
      <c r="A549" s="287" t="n"/>
      <c r="B549" s="298" t="n"/>
      <c r="C549" s="298" t="n"/>
      <c r="D549" s="208" t="inlineStr">
        <is>
          <t>7月</t>
        </is>
      </c>
      <c r="E549" s="299" t="n"/>
      <c r="F549" s="300" t="n"/>
      <c r="G549" s="301" t="n"/>
      <c r="H549" s="302" t="n"/>
      <c r="I549" s="303" t="n"/>
      <c r="J549" s="304">
        <f>G549+H549+I549</f>
        <v/>
      </c>
      <c r="K549" s="304">
        <f>J549/E549</f>
        <v/>
      </c>
      <c r="L549" s="304">
        <f>J549/F549</f>
        <v/>
      </c>
      <c r="M549" s="158" t="n"/>
    </row>
    <row r="550" ht="15" customHeight="1" s="272">
      <c r="A550" s="287" t="n"/>
      <c r="B550" s="298" t="n"/>
      <c r="C550" s="298" t="n"/>
      <c r="D550" s="208" t="inlineStr">
        <is>
          <t>8月</t>
        </is>
      </c>
      <c r="E550" s="299" t="n"/>
      <c r="F550" s="300" t="n"/>
      <c r="G550" s="301" t="n"/>
      <c r="H550" s="302" t="n"/>
      <c r="I550" s="303" t="n"/>
      <c r="J550" s="304">
        <f>G550+H550+I550</f>
        <v/>
      </c>
      <c r="K550" s="304">
        <f>J550/E550</f>
        <v/>
      </c>
      <c r="L550" s="304">
        <f>J550/F550</f>
        <v/>
      </c>
      <c r="M550" s="158" t="n"/>
    </row>
    <row r="551" ht="15" customHeight="1" s="272">
      <c r="A551" s="287" t="n"/>
      <c r="B551" s="298" t="n"/>
      <c r="C551" s="298" t="n"/>
      <c r="D551" s="208" t="inlineStr">
        <is>
          <t>9月</t>
        </is>
      </c>
      <c r="E551" s="299" t="n"/>
      <c r="F551" s="300" t="n"/>
      <c r="G551" s="301" t="n"/>
      <c r="H551" s="302" t="n"/>
      <c r="I551" s="303" t="n"/>
      <c r="J551" s="304">
        <f>G551+H551+I551</f>
        <v/>
      </c>
      <c r="K551" s="304">
        <f>J551/E551</f>
        <v/>
      </c>
      <c r="L551" s="304">
        <f>J551/F551</f>
        <v/>
      </c>
      <c r="M551" s="158" t="n"/>
    </row>
    <row r="552" ht="15" customHeight="1" s="272">
      <c r="A552" s="287" t="n"/>
      <c r="B552" s="298" t="n"/>
      <c r="C552" s="298" t="n"/>
      <c r="D552" s="208" t="inlineStr">
        <is>
          <t>10月</t>
        </is>
      </c>
      <c r="E552" s="299" t="n"/>
      <c r="F552" s="300" t="n"/>
      <c r="G552" s="301" t="n"/>
      <c r="H552" s="302" t="n"/>
      <c r="I552" s="303" t="n"/>
      <c r="J552" s="304">
        <f>G552+H552+I552</f>
        <v/>
      </c>
      <c r="K552" s="304">
        <f>J552/E552</f>
        <v/>
      </c>
      <c r="L552" s="304">
        <f>J552/F552</f>
        <v/>
      </c>
      <c r="M552" s="158" t="n"/>
    </row>
    <row r="553" ht="15" customHeight="1" s="272">
      <c r="A553" s="287" t="n"/>
      <c r="B553" s="298" t="n"/>
      <c r="C553" s="298" t="n"/>
      <c r="D553" s="208" t="inlineStr">
        <is>
          <t>11月</t>
        </is>
      </c>
      <c r="E553" s="299" t="n"/>
      <c r="F553" s="300" t="n"/>
      <c r="G553" s="301" t="n"/>
      <c r="H553" s="302" t="n"/>
      <c r="I553" s="303" t="n"/>
      <c r="J553" s="304">
        <f>G553+H553+I553</f>
        <v/>
      </c>
      <c r="K553" s="304">
        <f>J553/E553</f>
        <v/>
      </c>
      <c r="L553" s="304">
        <f>J553/F553</f>
        <v/>
      </c>
      <c r="M553" s="158" t="n"/>
    </row>
    <row r="554" ht="15" customHeight="1" s="272">
      <c r="A554" s="287" t="n"/>
      <c r="B554" s="298" t="n"/>
      <c r="C554" s="298" t="n"/>
      <c r="D554" s="208" t="inlineStr">
        <is>
          <t>12月</t>
        </is>
      </c>
      <c r="E554" s="299" t="n"/>
      <c r="F554" s="300" t="n"/>
      <c r="G554" s="301" t="n"/>
      <c r="H554" s="302" t="n"/>
      <c r="I554" s="303" t="n"/>
      <c r="J554" s="304">
        <f>G554+H554+I554</f>
        <v/>
      </c>
      <c r="K554" s="304">
        <f>J554/E554</f>
        <v/>
      </c>
      <c r="L554" s="304">
        <f>J554/F554</f>
        <v/>
      </c>
      <c r="M554" s="158" t="n"/>
    </row>
    <row r="555" ht="15" customHeight="1" s="272">
      <c r="A555" s="287" t="n"/>
      <c r="B555" s="298" t="n"/>
      <c r="C555" s="298" t="n"/>
      <c r="D555" s="208" t="inlineStr">
        <is>
          <t>1月</t>
        </is>
      </c>
      <c r="E555" s="299" t="n"/>
      <c r="F555" s="300" t="n"/>
      <c r="G555" s="301" t="n"/>
      <c r="H555" s="302" t="n"/>
      <c r="I555" s="303" t="n"/>
      <c r="J555" s="304">
        <f>G555+H555+I555</f>
        <v/>
      </c>
      <c r="K555" s="304">
        <f>J555/E555</f>
        <v/>
      </c>
      <c r="L555" s="304">
        <f>J555/F555</f>
        <v/>
      </c>
      <c r="M555" s="158" t="n"/>
    </row>
    <row r="556" ht="15" customHeight="1" s="272">
      <c r="A556" s="287" t="n"/>
      <c r="B556" s="298" t="n"/>
      <c r="C556" s="298" t="n"/>
      <c r="D556" s="208" t="inlineStr">
        <is>
          <t>2月</t>
        </is>
      </c>
      <c r="E556" s="299" t="n"/>
      <c r="F556" s="300" t="n"/>
      <c r="G556" s="301" t="n"/>
      <c r="H556" s="302" t="n"/>
      <c r="I556" s="303" t="n"/>
      <c r="J556" s="304">
        <f>G556+H556+I556</f>
        <v/>
      </c>
      <c r="K556" s="304">
        <f>J556/E556</f>
        <v/>
      </c>
      <c r="L556" s="304">
        <f>J556/F556</f>
        <v/>
      </c>
      <c r="M556" s="158" t="n"/>
    </row>
    <row r="557" ht="15" customHeight="1" s="272">
      <c r="A557" s="290" t="n"/>
      <c r="B557" s="305" t="n"/>
      <c r="C557" s="305" t="n"/>
      <c r="D557" s="211" t="inlineStr">
        <is>
          <t>3月</t>
        </is>
      </c>
      <c r="E557" s="306" t="n"/>
      <c r="F557" s="307" t="n"/>
      <c r="G557" s="308" t="n"/>
      <c r="H557" s="309" t="n"/>
      <c r="I557" s="310" t="n"/>
      <c r="J557" s="311">
        <f>G557+H557+I557</f>
        <v/>
      </c>
      <c r="K557" s="311">
        <f>J557/E557</f>
        <v/>
      </c>
      <c r="L557" s="311">
        <f>J557/F557</f>
        <v/>
      </c>
      <c r="M557" s="165" t="n"/>
    </row>
    <row r="558" ht="15" customHeight="1" s="272">
      <c r="A558" s="291" t="n">
        <v>47</v>
      </c>
      <c r="B558" s="168" t="n"/>
      <c r="C558" s="168" t="n"/>
      <c r="D558" s="205" t="inlineStr">
        <is>
          <t>4月</t>
        </is>
      </c>
      <c r="E558" s="292" t="n"/>
      <c r="F558" s="293" t="n"/>
      <c r="G558" s="294" t="n"/>
      <c r="H558" s="295" t="n"/>
      <c r="I558" s="296" t="n"/>
      <c r="J558" s="297">
        <f>G558+H558+I558</f>
        <v/>
      </c>
      <c r="K558" s="297">
        <f>J558/E558</f>
        <v/>
      </c>
      <c r="L558" s="297">
        <f>J558/F558</f>
        <v/>
      </c>
      <c r="M558" s="151" t="n"/>
    </row>
    <row r="559" ht="15" customHeight="1" s="272">
      <c r="A559" s="287" t="n"/>
      <c r="B559" s="298" t="n"/>
      <c r="C559" s="298" t="n"/>
      <c r="D559" s="208" t="inlineStr">
        <is>
          <t>5月</t>
        </is>
      </c>
      <c r="E559" s="299" t="n"/>
      <c r="F559" s="300" t="n"/>
      <c r="G559" s="301" t="n"/>
      <c r="H559" s="302" t="n"/>
      <c r="I559" s="303" t="n"/>
      <c r="J559" s="304">
        <f>G559+H559+I559</f>
        <v/>
      </c>
      <c r="K559" s="304">
        <f>J559/E559</f>
        <v/>
      </c>
      <c r="L559" s="304">
        <f>J559/F559</f>
        <v/>
      </c>
      <c r="M559" s="158" t="n"/>
    </row>
    <row r="560" ht="15" customHeight="1" s="272">
      <c r="A560" s="287" t="n"/>
      <c r="B560" s="298" t="n"/>
      <c r="C560" s="298" t="n"/>
      <c r="D560" s="208" t="inlineStr">
        <is>
          <t>6月</t>
        </is>
      </c>
      <c r="E560" s="299" t="n"/>
      <c r="F560" s="300" t="n"/>
      <c r="G560" s="301" t="n"/>
      <c r="H560" s="302" t="n"/>
      <c r="I560" s="303" t="n"/>
      <c r="J560" s="304">
        <f>G560+H560+I560</f>
        <v/>
      </c>
      <c r="K560" s="304">
        <f>J560/E560</f>
        <v/>
      </c>
      <c r="L560" s="304">
        <f>J560/F560</f>
        <v/>
      </c>
      <c r="M560" s="158" t="n"/>
    </row>
    <row r="561" ht="15" customHeight="1" s="272">
      <c r="A561" s="287" t="n"/>
      <c r="B561" s="298" t="n"/>
      <c r="C561" s="298" t="n"/>
      <c r="D561" s="208" t="inlineStr">
        <is>
          <t>7月</t>
        </is>
      </c>
      <c r="E561" s="299" t="n"/>
      <c r="F561" s="300" t="n"/>
      <c r="G561" s="301" t="n"/>
      <c r="H561" s="302" t="n"/>
      <c r="I561" s="303" t="n"/>
      <c r="J561" s="304">
        <f>G561+H561+I561</f>
        <v/>
      </c>
      <c r="K561" s="304">
        <f>J561/E561</f>
        <v/>
      </c>
      <c r="L561" s="304">
        <f>J561/F561</f>
        <v/>
      </c>
      <c r="M561" s="158" t="n"/>
    </row>
    <row r="562" ht="15" customHeight="1" s="272">
      <c r="A562" s="287" t="n"/>
      <c r="B562" s="298" t="n"/>
      <c r="C562" s="298" t="n"/>
      <c r="D562" s="208" t="inlineStr">
        <is>
          <t>8月</t>
        </is>
      </c>
      <c r="E562" s="299" t="n"/>
      <c r="F562" s="300" t="n"/>
      <c r="G562" s="301" t="n"/>
      <c r="H562" s="302" t="n"/>
      <c r="I562" s="303" t="n"/>
      <c r="J562" s="304">
        <f>G562+H562+I562</f>
        <v/>
      </c>
      <c r="K562" s="304">
        <f>J562/E562</f>
        <v/>
      </c>
      <c r="L562" s="304">
        <f>J562/F562</f>
        <v/>
      </c>
      <c r="M562" s="158" t="n"/>
    </row>
    <row r="563" ht="15" customHeight="1" s="272">
      <c r="A563" s="287" t="n"/>
      <c r="B563" s="298" t="n"/>
      <c r="C563" s="298" t="n"/>
      <c r="D563" s="208" t="inlineStr">
        <is>
          <t>9月</t>
        </is>
      </c>
      <c r="E563" s="299" t="n"/>
      <c r="F563" s="300" t="n"/>
      <c r="G563" s="301" t="n"/>
      <c r="H563" s="302" t="n"/>
      <c r="I563" s="303" t="n"/>
      <c r="J563" s="304">
        <f>G563+H563+I563</f>
        <v/>
      </c>
      <c r="K563" s="304">
        <f>J563/E563</f>
        <v/>
      </c>
      <c r="L563" s="304">
        <f>J563/F563</f>
        <v/>
      </c>
      <c r="M563" s="158" t="n"/>
    </row>
    <row r="564" ht="15" customHeight="1" s="272">
      <c r="A564" s="287" t="n"/>
      <c r="B564" s="298" t="n"/>
      <c r="C564" s="298" t="n"/>
      <c r="D564" s="208" t="inlineStr">
        <is>
          <t>10月</t>
        </is>
      </c>
      <c r="E564" s="299" t="n"/>
      <c r="F564" s="300" t="n"/>
      <c r="G564" s="301" t="n"/>
      <c r="H564" s="302" t="n"/>
      <c r="I564" s="303" t="n"/>
      <c r="J564" s="304">
        <f>G564+H564+I564</f>
        <v/>
      </c>
      <c r="K564" s="304">
        <f>J564/E564</f>
        <v/>
      </c>
      <c r="L564" s="304">
        <f>J564/F564</f>
        <v/>
      </c>
      <c r="M564" s="158" t="n"/>
    </row>
    <row r="565" ht="15" customHeight="1" s="272">
      <c r="A565" s="287" t="n"/>
      <c r="B565" s="298" t="n"/>
      <c r="C565" s="298" t="n"/>
      <c r="D565" s="208" t="inlineStr">
        <is>
          <t>11月</t>
        </is>
      </c>
      <c r="E565" s="299" t="n"/>
      <c r="F565" s="300" t="n"/>
      <c r="G565" s="301" t="n"/>
      <c r="H565" s="302" t="n"/>
      <c r="I565" s="303" t="n"/>
      <c r="J565" s="304">
        <f>G565+H565+I565</f>
        <v/>
      </c>
      <c r="K565" s="304">
        <f>J565/E565</f>
        <v/>
      </c>
      <c r="L565" s="304">
        <f>J565/F565</f>
        <v/>
      </c>
      <c r="M565" s="158" t="n"/>
    </row>
    <row r="566" ht="15" customHeight="1" s="272">
      <c r="A566" s="287" t="n"/>
      <c r="B566" s="298" t="n"/>
      <c r="C566" s="298" t="n"/>
      <c r="D566" s="208" t="inlineStr">
        <is>
          <t>12月</t>
        </is>
      </c>
      <c r="E566" s="299" t="n"/>
      <c r="F566" s="300" t="n"/>
      <c r="G566" s="301" t="n"/>
      <c r="H566" s="302" t="n"/>
      <c r="I566" s="303" t="n"/>
      <c r="J566" s="304">
        <f>G566+H566+I566</f>
        <v/>
      </c>
      <c r="K566" s="304">
        <f>J566/E566</f>
        <v/>
      </c>
      <c r="L566" s="304">
        <f>J566/F566</f>
        <v/>
      </c>
      <c r="M566" s="158" t="n"/>
    </row>
    <row r="567" ht="15" customHeight="1" s="272">
      <c r="A567" s="287" t="n"/>
      <c r="B567" s="298" t="n"/>
      <c r="C567" s="298" t="n"/>
      <c r="D567" s="208" t="inlineStr">
        <is>
          <t>1月</t>
        </is>
      </c>
      <c r="E567" s="299" t="n"/>
      <c r="F567" s="300" t="n"/>
      <c r="G567" s="301" t="n"/>
      <c r="H567" s="302" t="n"/>
      <c r="I567" s="303" t="n"/>
      <c r="J567" s="304">
        <f>G567+H567+I567</f>
        <v/>
      </c>
      <c r="K567" s="304">
        <f>J567/E567</f>
        <v/>
      </c>
      <c r="L567" s="304">
        <f>J567/F567</f>
        <v/>
      </c>
      <c r="M567" s="158" t="n"/>
    </row>
    <row r="568" ht="15" customHeight="1" s="272">
      <c r="A568" s="287" t="n"/>
      <c r="B568" s="298" t="n"/>
      <c r="C568" s="298" t="n"/>
      <c r="D568" s="208" t="inlineStr">
        <is>
          <t>2月</t>
        </is>
      </c>
      <c r="E568" s="299" t="n"/>
      <c r="F568" s="300" t="n"/>
      <c r="G568" s="301" t="n"/>
      <c r="H568" s="302" t="n"/>
      <c r="I568" s="303" t="n"/>
      <c r="J568" s="304">
        <f>G568+H568+I568</f>
        <v/>
      </c>
      <c r="K568" s="304">
        <f>J568/E568</f>
        <v/>
      </c>
      <c r="L568" s="304">
        <f>J568/F568</f>
        <v/>
      </c>
      <c r="M568" s="158" t="n"/>
    </row>
    <row r="569" ht="15" customHeight="1" s="272">
      <c r="A569" s="290" t="n"/>
      <c r="B569" s="305" t="n"/>
      <c r="C569" s="305" t="n"/>
      <c r="D569" s="211" t="inlineStr">
        <is>
          <t>3月</t>
        </is>
      </c>
      <c r="E569" s="306" t="n"/>
      <c r="F569" s="307" t="n"/>
      <c r="G569" s="308" t="n"/>
      <c r="H569" s="309" t="n"/>
      <c r="I569" s="310" t="n"/>
      <c r="J569" s="311">
        <f>G569+H569+I569</f>
        <v/>
      </c>
      <c r="K569" s="311">
        <f>J569/E569</f>
        <v/>
      </c>
      <c r="L569" s="311">
        <f>J569/F569</f>
        <v/>
      </c>
      <c r="M569" s="165" t="n"/>
    </row>
    <row r="570" ht="15" customHeight="1" s="272">
      <c r="A570" s="291" t="n">
        <v>48</v>
      </c>
      <c r="B570" s="168" t="n"/>
      <c r="C570" s="168" t="n"/>
      <c r="D570" s="205" t="inlineStr">
        <is>
          <t>4月</t>
        </is>
      </c>
      <c r="E570" s="292" t="n"/>
      <c r="F570" s="293" t="n"/>
      <c r="G570" s="294" t="n"/>
      <c r="H570" s="295" t="n"/>
      <c r="I570" s="296" t="n"/>
      <c r="J570" s="297">
        <f>G570+H570+I570</f>
        <v/>
      </c>
      <c r="K570" s="297">
        <f>J570/E570</f>
        <v/>
      </c>
      <c r="L570" s="297">
        <f>J570/F570</f>
        <v/>
      </c>
      <c r="M570" s="151" t="n"/>
    </row>
    <row r="571" ht="15" customHeight="1" s="272">
      <c r="A571" s="287" t="n"/>
      <c r="B571" s="298" t="n"/>
      <c r="C571" s="298" t="n"/>
      <c r="D571" s="208" t="inlineStr">
        <is>
          <t>5月</t>
        </is>
      </c>
      <c r="E571" s="299" t="n"/>
      <c r="F571" s="300" t="n"/>
      <c r="G571" s="301" t="n"/>
      <c r="H571" s="302" t="n"/>
      <c r="I571" s="303" t="n"/>
      <c r="J571" s="304">
        <f>G571+H571+I571</f>
        <v/>
      </c>
      <c r="K571" s="304">
        <f>J571/E571</f>
        <v/>
      </c>
      <c r="L571" s="304">
        <f>J571/F571</f>
        <v/>
      </c>
      <c r="M571" s="158" t="n"/>
    </row>
    <row r="572" ht="15" customHeight="1" s="272">
      <c r="A572" s="287" t="n"/>
      <c r="B572" s="298" t="n"/>
      <c r="C572" s="298" t="n"/>
      <c r="D572" s="208" t="inlineStr">
        <is>
          <t>6月</t>
        </is>
      </c>
      <c r="E572" s="299" t="n"/>
      <c r="F572" s="300" t="n"/>
      <c r="G572" s="301" t="n"/>
      <c r="H572" s="302" t="n"/>
      <c r="I572" s="303" t="n"/>
      <c r="J572" s="304">
        <f>G572+H572+I572</f>
        <v/>
      </c>
      <c r="K572" s="304">
        <f>J572/E572</f>
        <v/>
      </c>
      <c r="L572" s="304">
        <f>J572/F572</f>
        <v/>
      </c>
      <c r="M572" s="158" t="n"/>
    </row>
    <row r="573" ht="15" customHeight="1" s="272">
      <c r="A573" s="287" t="n"/>
      <c r="B573" s="298" t="n"/>
      <c r="C573" s="298" t="n"/>
      <c r="D573" s="208" t="inlineStr">
        <is>
          <t>7月</t>
        </is>
      </c>
      <c r="E573" s="299" t="n"/>
      <c r="F573" s="300" t="n"/>
      <c r="G573" s="301" t="n"/>
      <c r="H573" s="302" t="n"/>
      <c r="I573" s="303" t="n"/>
      <c r="J573" s="304">
        <f>G573+H573+I573</f>
        <v/>
      </c>
      <c r="K573" s="304">
        <f>J573/E573</f>
        <v/>
      </c>
      <c r="L573" s="304">
        <f>J573/F573</f>
        <v/>
      </c>
      <c r="M573" s="158" t="n"/>
    </row>
    <row r="574" ht="15" customHeight="1" s="272">
      <c r="A574" s="287" t="n"/>
      <c r="B574" s="298" t="n"/>
      <c r="C574" s="298" t="n"/>
      <c r="D574" s="208" t="inlineStr">
        <is>
          <t>8月</t>
        </is>
      </c>
      <c r="E574" s="299" t="n"/>
      <c r="F574" s="300" t="n"/>
      <c r="G574" s="301" t="n"/>
      <c r="H574" s="302" t="n"/>
      <c r="I574" s="303" t="n"/>
      <c r="J574" s="304">
        <f>G574+H574+I574</f>
        <v/>
      </c>
      <c r="K574" s="304">
        <f>J574/E574</f>
        <v/>
      </c>
      <c r="L574" s="304">
        <f>J574/F574</f>
        <v/>
      </c>
      <c r="M574" s="158" t="n"/>
    </row>
    <row r="575" ht="15" customHeight="1" s="272">
      <c r="A575" s="287" t="n"/>
      <c r="B575" s="298" t="n"/>
      <c r="C575" s="298" t="n"/>
      <c r="D575" s="208" t="inlineStr">
        <is>
          <t>9月</t>
        </is>
      </c>
      <c r="E575" s="299" t="n"/>
      <c r="F575" s="300" t="n"/>
      <c r="G575" s="301" t="n"/>
      <c r="H575" s="302" t="n"/>
      <c r="I575" s="303" t="n"/>
      <c r="J575" s="304">
        <f>G575+H575+I575</f>
        <v/>
      </c>
      <c r="K575" s="304">
        <f>J575/E575</f>
        <v/>
      </c>
      <c r="L575" s="304">
        <f>J575/F575</f>
        <v/>
      </c>
      <c r="M575" s="158" t="n"/>
    </row>
    <row r="576" ht="15" customHeight="1" s="272">
      <c r="A576" s="287" t="n"/>
      <c r="B576" s="298" t="n"/>
      <c r="C576" s="298" t="n"/>
      <c r="D576" s="208" t="inlineStr">
        <is>
          <t>10月</t>
        </is>
      </c>
      <c r="E576" s="299" t="n"/>
      <c r="F576" s="300" t="n"/>
      <c r="G576" s="301" t="n"/>
      <c r="H576" s="302" t="n"/>
      <c r="I576" s="303" t="n"/>
      <c r="J576" s="304">
        <f>G576+H576+I576</f>
        <v/>
      </c>
      <c r="K576" s="304">
        <f>J576/E576</f>
        <v/>
      </c>
      <c r="L576" s="304">
        <f>J576/F576</f>
        <v/>
      </c>
      <c r="M576" s="158" t="n"/>
    </row>
    <row r="577" ht="15" customHeight="1" s="272">
      <c r="A577" s="287" t="n"/>
      <c r="B577" s="298" t="n"/>
      <c r="C577" s="298" t="n"/>
      <c r="D577" s="208" t="inlineStr">
        <is>
          <t>11月</t>
        </is>
      </c>
      <c r="E577" s="299" t="n"/>
      <c r="F577" s="300" t="n"/>
      <c r="G577" s="301" t="n"/>
      <c r="H577" s="302" t="n"/>
      <c r="I577" s="303" t="n"/>
      <c r="J577" s="304">
        <f>G577+H577+I577</f>
        <v/>
      </c>
      <c r="K577" s="304">
        <f>J577/E577</f>
        <v/>
      </c>
      <c r="L577" s="304">
        <f>J577/F577</f>
        <v/>
      </c>
      <c r="M577" s="158" t="n"/>
    </row>
    <row r="578" ht="15" customHeight="1" s="272">
      <c r="A578" s="287" t="n"/>
      <c r="B578" s="298" t="n"/>
      <c r="C578" s="298" t="n"/>
      <c r="D578" s="208" t="inlineStr">
        <is>
          <t>12月</t>
        </is>
      </c>
      <c r="E578" s="299" t="n"/>
      <c r="F578" s="300" t="n"/>
      <c r="G578" s="301" t="n"/>
      <c r="H578" s="302" t="n"/>
      <c r="I578" s="303" t="n"/>
      <c r="J578" s="304">
        <f>G578+H578+I578</f>
        <v/>
      </c>
      <c r="K578" s="304">
        <f>J578/E578</f>
        <v/>
      </c>
      <c r="L578" s="304">
        <f>J578/F578</f>
        <v/>
      </c>
      <c r="M578" s="158" t="n"/>
    </row>
    <row r="579" ht="15" customHeight="1" s="272">
      <c r="A579" s="287" t="n"/>
      <c r="B579" s="298" t="n"/>
      <c r="C579" s="298" t="n"/>
      <c r="D579" s="208" t="inlineStr">
        <is>
          <t>1月</t>
        </is>
      </c>
      <c r="E579" s="299" t="n"/>
      <c r="F579" s="300" t="n"/>
      <c r="G579" s="301" t="n"/>
      <c r="H579" s="302" t="n"/>
      <c r="I579" s="303" t="n"/>
      <c r="J579" s="304">
        <f>G579+H579+I579</f>
        <v/>
      </c>
      <c r="K579" s="304">
        <f>J579/E579</f>
        <v/>
      </c>
      <c r="L579" s="304">
        <f>J579/F579</f>
        <v/>
      </c>
      <c r="M579" s="158" t="n"/>
    </row>
    <row r="580" ht="15" customHeight="1" s="272">
      <c r="A580" s="287" t="n"/>
      <c r="B580" s="298" t="n"/>
      <c r="C580" s="298" t="n"/>
      <c r="D580" s="208" t="inlineStr">
        <is>
          <t>2月</t>
        </is>
      </c>
      <c r="E580" s="299" t="n"/>
      <c r="F580" s="300" t="n"/>
      <c r="G580" s="301" t="n"/>
      <c r="H580" s="302" t="n"/>
      <c r="I580" s="303" t="n"/>
      <c r="J580" s="304">
        <f>G580+H580+I580</f>
        <v/>
      </c>
      <c r="K580" s="304">
        <f>J580/E580</f>
        <v/>
      </c>
      <c r="L580" s="304">
        <f>J580/F580</f>
        <v/>
      </c>
      <c r="M580" s="158" t="n"/>
    </row>
    <row r="581" ht="15" customHeight="1" s="272">
      <c r="A581" s="290" t="n"/>
      <c r="B581" s="305" t="n"/>
      <c r="C581" s="305" t="n"/>
      <c r="D581" s="211" t="inlineStr">
        <is>
          <t>3月</t>
        </is>
      </c>
      <c r="E581" s="306" t="n"/>
      <c r="F581" s="307" t="n"/>
      <c r="G581" s="308" t="n"/>
      <c r="H581" s="309" t="n"/>
      <c r="I581" s="310" t="n"/>
      <c r="J581" s="311">
        <f>G581+H581+I581</f>
        <v/>
      </c>
      <c r="K581" s="311">
        <f>J581/E581</f>
        <v/>
      </c>
      <c r="L581" s="311">
        <f>J581/F581</f>
        <v/>
      </c>
      <c r="M581" s="165" t="n"/>
    </row>
    <row r="582" ht="15" customHeight="1" s="272">
      <c r="A582" s="291" t="n">
        <v>49</v>
      </c>
      <c r="B582" s="168" t="n"/>
      <c r="C582" s="168" t="n"/>
      <c r="D582" s="205" t="inlineStr">
        <is>
          <t>4月</t>
        </is>
      </c>
      <c r="E582" s="292" t="n"/>
      <c r="F582" s="293" t="n"/>
      <c r="G582" s="294" t="n"/>
      <c r="H582" s="295" t="n"/>
      <c r="I582" s="296" t="n"/>
      <c r="J582" s="297">
        <f>G582+H582+I582</f>
        <v/>
      </c>
      <c r="K582" s="297">
        <f>J582/E582</f>
        <v/>
      </c>
      <c r="L582" s="297">
        <f>J582/F582</f>
        <v/>
      </c>
      <c r="M582" s="151" t="n"/>
    </row>
    <row r="583" ht="15" customHeight="1" s="272">
      <c r="A583" s="287" t="n"/>
      <c r="B583" s="298" t="n"/>
      <c r="C583" s="298" t="n"/>
      <c r="D583" s="208" t="inlineStr">
        <is>
          <t>5月</t>
        </is>
      </c>
      <c r="E583" s="299" t="n"/>
      <c r="F583" s="300" t="n"/>
      <c r="G583" s="301" t="n"/>
      <c r="H583" s="302" t="n"/>
      <c r="I583" s="303" t="n"/>
      <c r="J583" s="304">
        <f>G583+H583+I583</f>
        <v/>
      </c>
      <c r="K583" s="304">
        <f>J583/E583</f>
        <v/>
      </c>
      <c r="L583" s="304">
        <f>J583/F583</f>
        <v/>
      </c>
      <c r="M583" s="158" t="n"/>
    </row>
    <row r="584" ht="15" customHeight="1" s="272">
      <c r="A584" s="287" t="n"/>
      <c r="B584" s="298" t="n"/>
      <c r="C584" s="298" t="n"/>
      <c r="D584" s="208" t="inlineStr">
        <is>
          <t>6月</t>
        </is>
      </c>
      <c r="E584" s="299" t="n"/>
      <c r="F584" s="300" t="n"/>
      <c r="G584" s="301" t="n"/>
      <c r="H584" s="302" t="n"/>
      <c r="I584" s="303" t="n"/>
      <c r="J584" s="304">
        <f>G584+H584+I584</f>
        <v/>
      </c>
      <c r="K584" s="304">
        <f>J584/E584</f>
        <v/>
      </c>
      <c r="L584" s="304">
        <f>J584/F584</f>
        <v/>
      </c>
      <c r="M584" s="158" t="n"/>
    </row>
    <row r="585" ht="15" customHeight="1" s="272">
      <c r="A585" s="287" t="n"/>
      <c r="B585" s="298" t="n"/>
      <c r="C585" s="298" t="n"/>
      <c r="D585" s="208" t="inlineStr">
        <is>
          <t>7月</t>
        </is>
      </c>
      <c r="E585" s="299" t="n"/>
      <c r="F585" s="300" t="n"/>
      <c r="G585" s="301" t="n"/>
      <c r="H585" s="302" t="n"/>
      <c r="I585" s="303" t="n"/>
      <c r="J585" s="304">
        <f>G585+H585+I585</f>
        <v/>
      </c>
      <c r="K585" s="304">
        <f>J585/E585</f>
        <v/>
      </c>
      <c r="L585" s="304">
        <f>J585/F585</f>
        <v/>
      </c>
      <c r="M585" s="158" t="n"/>
    </row>
    <row r="586" ht="15" customHeight="1" s="272">
      <c r="A586" s="287" t="n"/>
      <c r="B586" s="298" t="n"/>
      <c r="C586" s="298" t="n"/>
      <c r="D586" s="208" t="inlineStr">
        <is>
          <t>8月</t>
        </is>
      </c>
      <c r="E586" s="299" t="n"/>
      <c r="F586" s="300" t="n"/>
      <c r="G586" s="301" t="n"/>
      <c r="H586" s="302" t="n"/>
      <c r="I586" s="303" t="n"/>
      <c r="J586" s="304">
        <f>G586+H586+I586</f>
        <v/>
      </c>
      <c r="K586" s="304">
        <f>J586/E586</f>
        <v/>
      </c>
      <c r="L586" s="304">
        <f>J586/F586</f>
        <v/>
      </c>
      <c r="M586" s="158" t="n"/>
    </row>
    <row r="587" ht="15" customHeight="1" s="272">
      <c r="A587" s="287" t="n"/>
      <c r="B587" s="298" t="n"/>
      <c r="C587" s="298" t="n"/>
      <c r="D587" s="208" t="inlineStr">
        <is>
          <t>9月</t>
        </is>
      </c>
      <c r="E587" s="299" t="n"/>
      <c r="F587" s="300" t="n"/>
      <c r="G587" s="301" t="n"/>
      <c r="H587" s="302" t="n"/>
      <c r="I587" s="303" t="n"/>
      <c r="J587" s="304">
        <f>G587+H587+I587</f>
        <v/>
      </c>
      <c r="K587" s="304">
        <f>J587/E587</f>
        <v/>
      </c>
      <c r="L587" s="304">
        <f>J587/F587</f>
        <v/>
      </c>
      <c r="M587" s="158" t="n"/>
    </row>
    <row r="588" ht="15" customHeight="1" s="272">
      <c r="A588" s="287" t="n"/>
      <c r="B588" s="298" t="n"/>
      <c r="C588" s="298" t="n"/>
      <c r="D588" s="208" t="inlineStr">
        <is>
          <t>10月</t>
        </is>
      </c>
      <c r="E588" s="299" t="n"/>
      <c r="F588" s="300" t="n"/>
      <c r="G588" s="301" t="n"/>
      <c r="H588" s="302" t="n"/>
      <c r="I588" s="303" t="n"/>
      <c r="J588" s="304">
        <f>G588+H588+I588</f>
        <v/>
      </c>
      <c r="K588" s="304">
        <f>J588/E588</f>
        <v/>
      </c>
      <c r="L588" s="304">
        <f>J588/F588</f>
        <v/>
      </c>
      <c r="M588" s="158" t="n"/>
    </row>
    <row r="589" ht="15" customHeight="1" s="272">
      <c r="A589" s="287" t="n"/>
      <c r="B589" s="298" t="n"/>
      <c r="C589" s="298" t="n"/>
      <c r="D589" s="208" t="inlineStr">
        <is>
          <t>11月</t>
        </is>
      </c>
      <c r="E589" s="299" t="n"/>
      <c r="F589" s="300" t="n"/>
      <c r="G589" s="301" t="n"/>
      <c r="H589" s="302" t="n"/>
      <c r="I589" s="303" t="n"/>
      <c r="J589" s="304">
        <f>G589+H589+I589</f>
        <v/>
      </c>
      <c r="K589" s="304">
        <f>J589/E589</f>
        <v/>
      </c>
      <c r="L589" s="304">
        <f>J589/F589</f>
        <v/>
      </c>
      <c r="M589" s="158" t="n"/>
    </row>
    <row r="590" ht="15" customHeight="1" s="272">
      <c r="A590" s="287" t="n"/>
      <c r="B590" s="298" t="n"/>
      <c r="C590" s="298" t="n"/>
      <c r="D590" s="208" t="inlineStr">
        <is>
          <t>12月</t>
        </is>
      </c>
      <c r="E590" s="299" t="n"/>
      <c r="F590" s="300" t="n"/>
      <c r="G590" s="301" t="n"/>
      <c r="H590" s="302" t="n"/>
      <c r="I590" s="303" t="n"/>
      <c r="J590" s="304">
        <f>G590+H590+I590</f>
        <v/>
      </c>
      <c r="K590" s="304">
        <f>J590/E590</f>
        <v/>
      </c>
      <c r="L590" s="304">
        <f>J590/F590</f>
        <v/>
      </c>
      <c r="M590" s="158" t="n"/>
    </row>
    <row r="591" ht="15" customHeight="1" s="272">
      <c r="A591" s="287" t="n"/>
      <c r="B591" s="298" t="n"/>
      <c r="C591" s="298" t="n"/>
      <c r="D591" s="208" t="inlineStr">
        <is>
          <t>1月</t>
        </is>
      </c>
      <c r="E591" s="299" t="n"/>
      <c r="F591" s="300" t="n"/>
      <c r="G591" s="301" t="n"/>
      <c r="H591" s="302" t="n"/>
      <c r="I591" s="303" t="n"/>
      <c r="J591" s="304">
        <f>G591+H591+I591</f>
        <v/>
      </c>
      <c r="K591" s="304">
        <f>J591/E591</f>
        <v/>
      </c>
      <c r="L591" s="304">
        <f>J591/F591</f>
        <v/>
      </c>
      <c r="M591" s="158" t="n"/>
    </row>
    <row r="592" ht="15" customHeight="1" s="272">
      <c r="A592" s="287" t="n"/>
      <c r="B592" s="298" t="n"/>
      <c r="C592" s="298" t="n"/>
      <c r="D592" s="208" t="inlineStr">
        <is>
          <t>2月</t>
        </is>
      </c>
      <c r="E592" s="299" t="n"/>
      <c r="F592" s="300" t="n"/>
      <c r="G592" s="301" t="n"/>
      <c r="H592" s="302" t="n"/>
      <c r="I592" s="303" t="n"/>
      <c r="J592" s="304">
        <f>G592+H592+I592</f>
        <v/>
      </c>
      <c r="K592" s="304">
        <f>J592/E592</f>
        <v/>
      </c>
      <c r="L592" s="304">
        <f>J592/F592</f>
        <v/>
      </c>
      <c r="M592" s="158" t="n"/>
    </row>
    <row r="593" ht="15" customHeight="1" s="272">
      <c r="A593" s="290" t="n"/>
      <c r="B593" s="305" t="n"/>
      <c r="C593" s="305" t="n"/>
      <c r="D593" s="211" t="inlineStr">
        <is>
          <t>3月</t>
        </is>
      </c>
      <c r="E593" s="306" t="n"/>
      <c r="F593" s="307" t="n"/>
      <c r="G593" s="308" t="n"/>
      <c r="H593" s="309" t="n"/>
      <c r="I593" s="310" t="n"/>
      <c r="J593" s="311">
        <f>G593+H593+I593</f>
        <v/>
      </c>
      <c r="K593" s="311">
        <f>J593/E593</f>
        <v/>
      </c>
      <c r="L593" s="311">
        <f>J593/F593</f>
        <v/>
      </c>
      <c r="M593" s="165" t="n"/>
    </row>
    <row r="594" ht="15" customHeight="1" s="272">
      <c r="A594" s="291" t="n">
        <v>50</v>
      </c>
      <c r="B594" s="168" t="n"/>
      <c r="C594" s="168" t="n"/>
      <c r="D594" s="205" t="inlineStr">
        <is>
          <t>4月</t>
        </is>
      </c>
      <c r="E594" s="292" t="n"/>
      <c r="F594" s="293" t="n"/>
      <c r="G594" s="294" t="n"/>
      <c r="H594" s="295" t="n"/>
      <c r="I594" s="296" t="n"/>
      <c r="J594" s="297">
        <f>G594+H594+I594</f>
        <v/>
      </c>
      <c r="K594" s="297">
        <f>J594/E594</f>
        <v/>
      </c>
      <c r="L594" s="297">
        <f>J594/F594</f>
        <v/>
      </c>
      <c r="M594" s="151" t="n"/>
    </row>
    <row r="595" ht="15" customHeight="1" s="272">
      <c r="A595" s="287" t="n"/>
      <c r="B595" s="298" t="n"/>
      <c r="C595" s="298" t="n"/>
      <c r="D595" s="208" t="inlineStr">
        <is>
          <t>5月</t>
        </is>
      </c>
      <c r="E595" s="299" t="n"/>
      <c r="F595" s="300" t="n"/>
      <c r="G595" s="301" t="n"/>
      <c r="H595" s="302" t="n"/>
      <c r="I595" s="303" t="n"/>
      <c r="J595" s="304">
        <f>G595+H595+I595</f>
        <v/>
      </c>
      <c r="K595" s="304">
        <f>J595/E595</f>
        <v/>
      </c>
      <c r="L595" s="304">
        <f>J595/F595</f>
        <v/>
      </c>
      <c r="M595" s="158" t="n"/>
    </row>
    <row r="596" ht="15" customHeight="1" s="272">
      <c r="A596" s="287" t="n"/>
      <c r="B596" s="298" t="n"/>
      <c r="C596" s="298" t="n"/>
      <c r="D596" s="208" t="inlineStr">
        <is>
          <t>6月</t>
        </is>
      </c>
      <c r="E596" s="299" t="n"/>
      <c r="F596" s="300" t="n"/>
      <c r="G596" s="301" t="n"/>
      <c r="H596" s="302" t="n"/>
      <c r="I596" s="303" t="n"/>
      <c r="J596" s="304">
        <f>G596+H596+I596</f>
        <v/>
      </c>
      <c r="K596" s="304">
        <f>J596/E596</f>
        <v/>
      </c>
      <c r="L596" s="304">
        <f>J596/F596</f>
        <v/>
      </c>
      <c r="M596" s="158" t="n"/>
    </row>
    <row r="597" ht="15" customHeight="1" s="272">
      <c r="A597" s="287" t="n"/>
      <c r="B597" s="298" t="n"/>
      <c r="C597" s="298" t="n"/>
      <c r="D597" s="208" t="inlineStr">
        <is>
          <t>7月</t>
        </is>
      </c>
      <c r="E597" s="299" t="n"/>
      <c r="F597" s="300" t="n"/>
      <c r="G597" s="301" t="n"/>
      <c r="H597" s="302" t="n"/>
      <c r="I597" s="303" t="n"/>
      <c r="J597" s="304">
        <f>G597+H597+I597</f>
        <v/>
      </c>
      <c r="K597" s="304">
        <f>J597/E597</f>
        <v/>
      </c>
      <c r="L597" s="304">
        <f>J597/F597</f>
        <v/>
      </c>
      <c r="M597" s="158" t="n"/>
    </row>
    <row r="598" ht="15" customHeight="1" s="272">
      <c r="A598" s="287" t="n"/>
      <c r="B598" s="298" t="n"/>
      <c r="C598" s="298" t="n"/>
      <c r="D598" s="208" t="inlineStr">
        <is>
          <t>8月</t>
        </is>
      </c>
      <c r="E598" s="299" t="n"/>
      <c r="F598" s="300" t="n"/>
      <c r="G598" s="301" t="n"/>
      <c r="H598" s="302" t="n"/>
      <c r="I598" s="303" t="n"/>
      <c r="J598" s="304">
        <f>G598+H598+I598</f>
        <v/>
      </c>
      <c r="K598" s="304">
        <f>J598/E598</f>
        <v/>
      </c>
      <c r="L598" s="304">
        <f>J598/F598</f>
        <v/>
      </c>
      <c r="M598" s="158" t="n"/>
    </row>
    <row r="599" ht="15" customHeight="1" s="272">
      <c r="A599" s="287" t="n"/>
      <c r="B599" s="298" t="n"/>
      <c r="C599" s="298" t="n"/>
      <c r="D599" s="208" t="inlineStr">
        <is>
          <t>9月</t>
        </is>
      </c>
      <c r="E599" s="299" t="n"/>
      <c r="F599" s="300" t="n"/>
      <c r="G599" s="301" t="n"/>
      <c r="H599" s="302" t="n"/>
      <c r="I599" s="303" t="n"/>
      <c r="J599" s="304">
        <f>G599+H599+I599</f>
        <v/>
      </c>
      <c r="K599" s="304">
        <f>J599/E599</f>
        <v/>
      </c>
      <c r="L599" s="304">
        <f>J599/F599</f>
        <v/>
      </c>
      <c r="M599" s="158" t="n"/>
    </row>
    <row r="600" ht="15" customHeight="1" s="272">
      <c r="A600" s="287" t="n"/>
      <c r="B600" s="298" t="n"/>
      <c r="C600" s="298" t="n"/>
      <c r="D600" s="208" t="inlineStr">
        <is>
          <t>10月</t>
        </is>
      </c>
      <c r="E600" s="299" t="n"/>
      <c r="F600" s="300" t="n"/>
      <c r="G600" s="301" t="n"/>
      <c r="H600" s="302" t="n"/>
      <c r="I600" s="303" t="n"/>
      <c r="J600" s="304">
        <f>G600+H600+I600</f>
        <v/>
      </c>
      <c r="K600" s="304">
        <f>J600/E600</f>
        <v/>
      </c>
      <c r="L600" s="304">
        <f>J600/F600</f>
        <v/>
      </c>
      <c r="M600" s="158" t="n"/>
    </row>
    <row r="601" ht="15" customHeight="1" s="272">
      <c r="A601" s="287" t="n"/>
      <c r="B601" s="298" t="n"/>
      <c r="C601" s="298" t="n"/>
      <c r="D601" s="208" t="inlineStr">
        <is>
          <t>11月</t>
        </is>
      </c>
      <c r="E601" s="299" t="n"/>
      <c r="F601" s="300" t="n"/>
      <c r="G601" s="301" t="n"/>
      <c r="H601" s="302" t="n"/>
      <c r="I601" s="303" t="n"/>
      <c r="J601" s="304">
        <f>G601+H601+I601</f>
        <v/>
      </c>
      <c r="K601" s="304">
        <f>J601/E601</f>
        <v/>
      </c>
      <c r="L601" s="304">
        <f>J601/F601</f>
        <v/>
      </c>
      <c r="M601" s="158" t="n"/>
    </row>
    <row r="602" ht="15" customHeight="1" s="272">
      <c r="A602" s="287" t="n"/>
      <c r="B602" s="298" t="n"/>
      <c r="C602" s="298" t="n"/>
      <c r="D602" s="208" t="inlineStr">
        <is>
          <t>12月</t>
        </is>
      </c>
      <c r="E602" s="299" t="n"/>
      <c r="F602" s="300" t="n"/>
      <c r="G602" s="301" t="n"/>
      <c r="H602" s="302" t="n"/>
      <c r="I602" s="303" t="n"/>
      <c r="J602" s="304">
        <f>G602+H602+I602</f>
        <v/>
      </c>
      <c r="K602" s="304">
        <f>J602/E602</f>
        <v/>
      </c>
      <c r="L602" s="304">
        <f>J602/F602</f>
        <v/>
      </c>
      <c r="M602" s="158" t="n"/>
    </row>
    <row r="603" ht="15" customHeight="1" s="272">
      <c r="A603" s="287" t="n"/>
      <c r="B603" s="298" t="n"/>
      <c r="C603" s="298" t="n"/>
      <c r="D603" s="208" t="inlineStr">
        <is>
          <t>1月</t>
        </is>
      </c>
      <c r="E603" s="299" t="n"/>
      <c r="F603" s="300" t="n"/>
      <c r="G603" s="301" t="n"/>
      <c r="H603" s="302" t="n"/>
      <c r="I603" s="303" t="n"/>
      <c r="J603" s="304">
        <f>G603+H603+I603</f>
        <v/>
      </c>
      <c r="K603" s="304">
        <f>J603/E603</f>
        <v/>
      </c>
      <c r="L603" s="304">
        <f>J603/F603</f>
        <v/>
      </c>
      <c r="M603" s="158" t="n"/>
    </row>
    <row r="604" ht="15" customHeight="1" s="272">
      <c r="A604" s="287" t="n"/>
      <c r="B604" s="298" t="n"/>
      <c r="C604" s="298" t="n"/>
      <c r="D604" s="208" t="inlineStr">
        <is>
          <t>2月</t>
        </is>
      </c>
      <c r="E604" s="299" t="n"/>
      <c r="F604" s="300" t="n"/>
      <c r="G604" s="301" t="n"/>
      <c r="H604" s="302" t="n"/>
      <c r="I604" s="303" t="n"/>
      <c r="J604" s="304">
        <f>G604+H604+I604</f>
        <v/>
      </c>
      <c r="K604" s="304">
        <f>J604/E604</f>
        <v/>
      </c>
      <c r="L604" s="304">
        <f>J604/F604</f>
        <v/>
      </c>
      <c r="M604" s="158" t="n"/>
    </row>
    <row r="605" ht="15" customHeight="1" s="272">
      <c r="A605" s="290" t="n"/>
      <c r="B605" s="305" t="n"/>
      <c r="C605" s="305" t="n"/>
      <c r="D605" s="211" t="inlineStr">
        <is>
          <t>3月</t>
        </is>
      </c>
      <c r="E605" s="306" t="n"/>
      <c r="F605" s="307" t="n"/>
      <c r="G605" s="308" t="n"/>
      <c r="H605" s="309" t="n"/>
      <c r="I605" s="310" t="n"/>
      <c r="J605" s="311">
        <f>G605+H605+I605</f>
        <v/>
      </c>
      <c r="K605" s="311">
        <f>J605/E605</f>
        <v/>
      </c>
      <c r="L605" s="311">
        <f>J605/F605</f>
        <v/>
      </c>
      <c r="M605" s="165" t="n"/>
    </row>
    <row r="606" ht="15.75" customHeight="1" s="272">
      <c r="A606" s="178" t="inlineStr">
        <is>
          <t>合　計</t>
        </is>
      </c>
      <c r="B606" s="282" t="n"/>
      <c r="C606" s="284" t="n"/>
      <c r="D606" s="217" t="n"/>
      <c r="E606" s="313" t="n"/>
      <c r="F606" s="314" t="n"/>
      <c r="G606" s="315" t="n"/>
      <c r="H606" s="316" t="n"/>
      <c r="I606" s="315" t="n"/>
      <c r="J606" s="317" t="n"/>
      <c r="K606" s="223" t="n"/>
      <c r="L606" s="224" t="n"/>
      <c r="M606" s="224" t="n"/>
    </row>
    <row r="607" ht="15.75" customHeight="1" s="272">
      <c r="A607" s="288" t="n"/>
      <c r="B607" s="289" t="n"/>
      <c r="C607" s="274" t="n"/>
      <c r="D607" s="228" t="n"/>
      <c r="E607" s="318">
        <f>SUM(E6:E605)</f>
        <v/>
      </c>
      <c r="F607" s="319">
        <f>SUM(F6:F605)</f>
        <v/>
      </c>
      <c r="G607" s="320" t="n"/>
      <c r="H607" s="321" t="n"/>
      <c r="I607" s="320" t="n"/>
      <c r="J607" s="322">
        <f>SUM(J6:J605)</f>
        <v/>
      </c>
      <c r="K607" s="234" t="inlineStr">
        <is>
          <t>←①</t>
        </is>
      </c>
      <c r="L607" s="235" t="n"/>
      <c r="M607" s="235" t="n"/>
    </row>
    <row r="608" ht="15.75" customHeight="1" s="272">
      <c r="D608" s="236" t="n"/>
      <c r="E608" s="236" t="inlineStr">
        <is>
          <t>↑</t>
        </is>
      </c>
      <c r="F608" s="236" t="inlineStr">
        <is>
          <t>↑</t>
        </is>
      </c>
      <c r="H608" s="323" t="inlineStr">
        <is>
          <t>延べ工賃支払月数</t>
        </is>
      </c>
      <c r="I608" s="284" t="n"/>
      <c r="J608" s="224" t="n"/>
    </row>
    <row r="609" ht="15.75" customHeight="1" s="272">
      <c r="D609" s="236" t="n"/>
      <c r="E609" s="236" t="inlineStr">
        <is>
          <t>③</t>
        </is>
      </c>
      <c r="F609" s="236" t="inlineStr">
        <is>
          <t>④</t>
        </is>
      </c>
      <c r="H609" s="324" t="inlineStr">
        <is>
          <t xml:space="preserve">　利用者に工賃の支払い
　があった月数の合計</t>
        </is>
      </c>
      <c r="I609" s="325" t="n"/>
      <c r="J609" s="326">
        <f>COUNTIF(J6:J605,"&gt;0")</f>
        <v/>
      </c>
      <c r="K609" s="170" t="inlineStr">
        <is>
          <t>←②</t>
        </is>
      </c>
    </row>
    <row r="610" ht="15.75" customHeight="1" s="272">
      <c r="D610" s="236" t="n"/>
      <c r="H610" s="288" t="n"/>
      <c r="I610" s="274" t="n"/>
      <c r="J610" s="235" t="n"/>
    </row>
    <row r="611" ht="15.75" customHeight="1" s="272">
      <c r="D611" s="236" t="n"/>
    </row>
    <row r="612" ht="15.75" customHeight="1" s="272">
      <c r="D612" s="236" t="n"/>
      <c r="E612" s="242" t="inlineStr">
        <is>
          <t>◆事業所の平均工賃の状況</t>
        </is>
      </c>
      <c r="F612" s="289" t="n"/>
      <c r="G612" s="289" t="n"/>
    </row>
    <row r="613" ht="15.75" customHeight="1" s="272">
      <c r="D613" s="236" t="n"/>
      <c r="E613" s="327" t="inlineStr">
        <is>
          <t>①工賃総支給額</t>
        </is>
      </c>
      <c r="F613" s="277" t="n"/>
      <c r="G613" s="328">
        <f>J607</f>
        <v/>
      </c>
      <c r="H613" s="329" t="inlineStr">
        <is>
          <t>⑤開所月数</t>
        </is>
      </c>
      <c r="I613" s="277" t="n"/>
      <c r="J613" s="330">
        <f>G2</f>
        <v/>
      </c>
    </row>
    <row r="614" ht="15.75" customHeight="1" s="272">
      <c r="D614" s="236" t="n"/>
      <c r="E614" s="327" t="inlineStr">
        <is>
          <t>②延べ工賃支払月数</t>
        </is>
      </c>
      <c r="F614" s="277" t="n"/>
      <c r="G614" s="330">
        <f>COUNTIF(J6:J605,"&gt;0")</f>
        <v/>
      </c>
      <c r="H614" s="329" t="inlineStr">
        <is>
          <t>⑥年間開所日数</t>
        </is>
      </c>
      <c r="I614" s="277" t="n"/>
      <c r="J614" s="330">
        <f>K2</f>
        <v/>
      </c>
      <c r="K614" s="250" t="inlineStr">
        <is>
          <t>平均工賃月額</t>
        </is>
      </c>
      <c r="L614" s="277" t="n"/>
      <c r="M614" s="331">
        <f>ROUND((G613/J615/J613),0)</f>
        <v/>
      </c>
    </row>
    <row r="615" ht="15.75" customHeight="1" s="272">
      <c r="D615" s="236" t="n"/>
      <c r="E615" s="327" t="inlineStr">
        <is>
          <t>③延べ利用者数</t>
        </is>
      </c>
      <c r="F615" s="277" t="n"/>
      <c r="G615" s="330">
        <f>SUM(E6:E605)</f>
        <v/>
      </c>
      <c r="H615" s="252" t="inlineStr">
        <is>
          <t>開所日1日当たりの平均利用者数</t>
        </is>
      </c>
      <c r="I615" s="284" t="n"/>
      <c r="J615" s="253">
        <f>ROUNDUP((G615/J614),1)</f>
        <v/>
      </c>
      <c r="K615" s="332" t="inlineStr">
        <is>
          <t>平均工賃日額</t>
        </is>
      </c>
      <c r="L615" s="277" t="n"/>
      <c r="M615" s="331">
        <f>G613/G615</f>
        <v/>
      </c>
    </row>
    <row r="616" ht="15.75" customHeight="1" s="272">
      <c r="D616" s="236" t="n"/>
      <c r="E616" s="327" t="inlineStr">
        <is>
          <t>④延べ作業時間数</t>
        </is>
      </c>
      <c r="F616" s="277" t="n"/>
      <c r="G616" s="333">
        <f>SUM(F6:F605)</f>
        <v/>
      </c>
      <c r="H616" s="288" t="n"/>
      <c r="I616" s="274" t="n"/>
      <c r="J616" s="290" t="n"/>
      <c r="K616" s="332" t="inlineStr">
        <is>
          <t>平均工賃時間額</t>
        </is>
      </c>
      <c r="L616" s="277" t="n"/>
      <c r="M616" s="331">
        <f>G613/G616</f>
        <v/>
      </c>
    </row>
    <row r="617" ht="15.75" customHeight="1" s="272">
      <c r="D617" s="236" t="n"/>
      <c r="G617" s="334" t="n"/>
      <c r="H617" s="236" t="n"/>
      <c r="I617" s="236" t="n"/>
      <c r="J617" s="334" t="n"/>
      <c r="P617" s="257" t="n"/>
      <c r="R617" s="258" t="n"/>
    </row>
    <row r="618" ht="7.5" customHeight="1" s="272">
      <c r="D618" s="236" t="n"/>
    </row>
    <row r="619" ht="15.75" customHeight="1" s="272"/>
    <row r="620" ht="15.75" customHeight="1" s="272"/>
    <row r="621" ht="15.75" customHeight="1" s="272"/>
    <row r="622" ht="15.75" customHeight="1" s="272">
      <c r="A622" s="335" t="n"/>
      <c r="B622" s="336" t="n"/>
      <c r="C622" s="336" t="n"/>
      <c r="D622" s="261" t="inlineStr">
        <is>
          <t>4月</t>
        </is>
      </c>
      <c r="E622" s="337" t="n"/>
      <c r="F622" s="338" t="n"/>
      <c r="G622" s="339" t="n"/>
      <c r="H622" s="340" t="n"/>
      <c r="I622" s="341" t="n"/>
      <c r="J622" s="342">
        <f>G622+H622+I622</f>
        <v/>
      </c>
      <c r="K622" s="342">
        <f>J622/E622</f>
        <v/>
      </c>
      <c r="L622" s="342">
        <f>J622/F622</f>
        <v/>
      </c>
      <c r="M622" s="34" t="n"/>
    </row>
    <row r="623" ht="15.75" customHeight="1" s="272">
      <c r="A623" s="287" t="n"/>
      <c r="B623" s="287" t="n"/>
      <c r="C623" s="287" t="n"/>
      <c r="D623" s="266" t="inlineStr">
        <is>
          <t>5月</t>
        </is>
      </c>
      <c r="E623" s="343" t="n"/>
      <c r="F623" s="344" t="n"/>
      <c r="G623" s="345" t="n"/>
      <c r="H623" s="346" t="n"/>
      <c r="I623" s="347" t="n"/>
      <c r="J623" s="348">
        <f>G623+H623+I623</f>
        <v/>
      </c>
      <c r="K623" s="348">
        <f>J623/E623</f>
        <v/>
      </c>
      <c r="L623" s="348">
        <f>J623/F623</f>
        <v/>
      </c>
      <c r="M623" s="35" t="n"/>
    </row>
    <row r="624" ht="15.75" customHeight="1" s="272">
      <c r="A624" s="287" t="n"/>
      <c r="B624" s="287" t="n"/>
      <c r="C624" s="287" t="n"/>
      <c r="D624" s="266" t="inlineStr">
        <is>
          <t>6月</t>
        </is>
      </c>
      <c r="E624" s="343" t="n"/>
      <c r="F624" s="344" t="n"/>
      <c r="G624" s="345" t="n"/>
      <c r="H624" s="346" t="n"/>
      <c r="I624" s="347" t="n"/>
      <c r="J624" s="348">
        <f>G624+H624+I624</f>
        <v/>
      </c>
      <c r="K624" s="348">
        <f>J624/E624</f>
        <v/>
      </c>
      <c r="L624" s="348">
        <f>J624/F624</f>
        <v/>
      </c>
      <c r="M624" s="35" t="n"/>
    </row>
    <row r="625" ht="15.75" customHeight="1" s="272">
      <c r="A625" s="287" t="n"/>
      <c r="B625" s="287" t="n"/>
      <c r="C625" s="287" t="n"/>
      <c r="D625" s="266" t="inlineStr">
        <is>
          <t>7月</t>
        </is>
      </c>
      <c r="E625" s="343" t="n"/>
      <c r="F625" s="344" t="n"/>
      <c r="G625" s="345" t="n"/>
      <c r="H625" s="346" t="n"/>
      <c r="I625" s="347" t="n"/>
      <c r="J625" s="348">
        <f>G625+H625+I625</f>
        <v/>
      </c>
      <c r="K625" s="348">
        <f>J625/E625</f>
        <v/>
      </c>
      <c r="L625" s="348">
        <f>J625/F625</f>
        <v/>
      </c>
      <c r="M625" s="35" t="n"/>
    </row>
    <row r="626" ht="15.75" customHeight="1" s="272">
      <c r="A626" s="287" t="n"/>
      <c r="B626" s="287" t="n"/>
      <c r="C626" s="287" t="n"/>
      <c r="D626" s="266" t="inlineStr">
        <is>
          <t>8月</t>
        </is>
      </c>
      <c r="E626" s="343" t="n"/>
      <c r="F626" s="344" t="n"/>
      <c r="G626" s="345" t="n"/>
      <c r="H626" s="346" t="n"/>
      <c r="I626" s="347" t="n"/>
      <c r="J626" s="348">
        <f>G626+H626+I626</f>
        <v/>
      </c>
      <c r="K626" s="348">
        <f>J626/E626</f>
        <v/>
      </c>
      <c r="L626" s="348">
        <f>J626/F626</f>
        <v/>
      </c>
      <c r="M626" s="35" t="n"/>
    </row>
    <row r="627" ht="15.75" customHeight="1" s="272">
      <c r="A627" s="287" t="n"/>
      <c r="B627" s="287" t="n"/>
      <c r="C627" s="287" t="n"/>
      <c r="D627" s="266" t="inlineStr">
        <is>
          <t>9月</t>
        </is>
      </c>
      <c r="E627" s="343" t="n"/>
      <c r="F627" s="344" t="n"/>
      <c r="G627" s="345" t="n"/>
      <c r="H627" s="346" t="n"/>
      <c r="I627" s="347" t="n"/>
      <c r="J627" s="348">
        <f>G627+H627+I627</f>
        <v/>
      </c>
      <c r="K627" s="348">
        <f>J627/E627</f>
        <v/>
      </c>
      <c r="L627" s="348">
        <f>J627/F627</f>
        <v/>
      </c>
      <c r="M627" s="35" t="n"/>
    </row>
    <row r="628" ht="15.75" customHeight="1" s="272">
      <c r="A628" s="287" t="n"/>
      <c r="B628" s="287" t="n"/>
      <c r="C628" s="287" t="n"/>
      <c r="D628" s="266" t="inlineStr">
        <is>
          <t>10月</t>
        </is>
      </c>
      <c r="E628" s="343" t="n"/>
      <c r="F628" s="344" t="n"/>
      <c r="G628" s="345" t="n"/>
      <c r="H628" s="346" t="n"/>
      <c r="I628" s="347" t="n"/>
      <c r="J628" s="348">
        <f>G628+H628+I628</f>
        <v/>
      </c>
      <c r="K628" s="348">
        <f>J628/E628</f>
        <v/>
      </c>
      <c r="L628" s="348">
        <f>J628/F628</f>
        <v/>
      </c>
      <c r="M628" s="35" t="n"/>
    </row>
    <row r="629" ht="15.75" customHeight="1" s="272">
      <c r="A629" s="287" t="n"/>
      <c r="B629" s="287" t="n"/>
      <c r="C629" s="287" t="n"/>
      <c r="D629" s="266" t="inlineStr">
        <is>
          <t>11月</t>
        </is>
      </c>
      <c r="E629" s="343" t="n"/>
      <c r="F629" s="344" t="n"/>
      <c r="G629" s="345" t="n"/>
      <c r="H629" s="346" t="n"/>
      <c r="I629" s="347" t="n"/>
      <c r="J629" s="348">
        <f>G629+H629+I629</f>
        <v/>
      </c>
      <c r="K629" s="348">
        <f>J629/E629</f>
        <v/>
      </c>
      <c r="L629" s="348">
        <f>J629/F629</f>
        <v/>
      </c>
      <c r="M629" s="35" t="n"/>
    </row>
    <row r="630" ht="15.75" customHeight="1" s="272">
      <c r="A630" s="287" t="n"/>
      <c r="B630" s="287" t="n"/>
      <c r="C630" s="287" t="n"/>
      <c r="D630" s="266" t="inlineStr">
        <is>
          <t>12月</t>
        </is>
      </c>
      <c r="E630" s="343" t="n"/>
      <c r="F630" s="344" t="n"/>
      <c r="G630" s="345" t="n"/>
      <c r="H630" s="346" t="n"/>
      <c r="I630" s="347" t="n"/>
      <c r="J630" s="348">
        <f>G630+H630+I630</f>
        <v/>
      </c>
      <c r="K630" s="348">
        <f>J630/E630</f>
        <v/>
      </c>
      <c r="L630" s="348">
        <f>J630/F630</f>
        <v/>
      </c>
      <c r="M630" s="35" t="n"/>
    </row>
    <row r="631" ht="15.75" customHeight="1" s="272">
      <c r="A631" s="287" t="n"/>
      <c r="B631" s="287" t="n"/>
      <c r="C631" s="287" t="n"/>
      <c r="D631" s="266" t="inlineStr">
        <is>
          <t>1月</t>
        </is>
      </c>
      <c r="E631" s="343" t="n"/>
      <c r="F631" s="344" t="n"/>
      <c r="G631" s="345" t="n"/>
      <c r="H631" s="346" t="n"/>
      <c r="I631" s="347" t="n"/>
      <c r="J631" s="348">
        <f>G631+H631+I631</f>
        <v/>
      </c>
      <c r="K631" s="348">
        <f>J631/E631</f>
        <v/>
      </c>
      <c r="L631" s="348">
        <f>J631/F631</f>
        <v/>
      </c>
      <c r="M631" s="35" t="n"/>
    </row>
    <row r="632" ht="15.75" customHeight="1" s="272">
      <c r="A632" s="287" t="n"/>
      <c r="B632" s="287" t="n"/>
      <c r="C632" s="287" t="n"/>
      <c r="D632" s="266" t="inlineStr">
        <is>
          <t>2月</t>
        </is>
      </c>
      <c r="E632" s="343" t="n"/>
      <c r="F632" s="344" t="n"/>
      <c r="G632" s="345" t="n"/>
      <c r="H632" s="346" t="n"/>
      <c r="I632" s="347" t="n"/>
      <c r="J632" s="348">
        <f>G632+H632+I632</f>
        <v/>
      </c>
      <c r="K632" s="348">
        <f>J632/E632</f>
        <v/>
      </c>
      <c r="L632" s="348">
        <f>J632/F632</f>
        <v/>
      </c>
      <c r="M632" s="35" t="n"/>
    </row>
    <row r="633" ht="15.75" customHeight="1" s="272">
      <c r="A633" s="290" t="n"/>
      <c r="B633" s="290" t="n"/>
      <c r="C633" s="290" t="n"/>
      <c r="D633" s="270" t="inlineStr">
        <is>
          <t>3月</t>
        </is>
      </c>
      <c r="E633" s="349" t="n"/>
      <c r="F633" s="350" t="n"/>
      <c r="G633" s="351" t="n"/>
      <c r="H633" s="352" t="n"/>
      <c r="I633" s="353" t="n"/>
      <c r="J633" s="354">
        <f>G633+H633+I633</f>
        <v/>
      </c>
      <c r="K633" s="354">
        <f>J633/E633</f>
        <v/>
      </c>
      <c r="L633" s="354">
        <f>J633/F633</f>
        <v/>
      </c>
      <c r="M633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79">
    <mergeCell ref="A390:A401"/>
    <mergeCell ref="A234:A245"/>
    <mergeCell ref="H608:I608"/>
    <mergeCell ref="B78:B89"/>
    <mergeCell ref="K614:L614"/>
    <mergeCell ref="A510:A521"/>
    <mergeCell ref="B558:B569"/>
    <mergeCell ref="B30:B41"/>
    <mergeCell ref="B354:B365"/>
    <mergeCell ref="B306:B317"/>
    <mergeCell ref="B486:B497"/>
    <mergeCell ref="B198:B209"/>
    <mergeCell ref="B54:B65"/>
    <mergeCell ref="K616:L616"/>
    <mergeCell ref="E613:F613"/>
    <mergeCell ref="C42:C53"/>
    <mergeCell ref="A546:A557"/>
    <mergeCell ref="A78:A89"/>
    <mergeCell ref="C318:C329"/>
    <mergeCell ref="B282:B293"/>
    <mergeCell ref="A246:A257"/>
    <mergeCell ref="C402:C413"/>
    <mergeCell ref="C246:C257"/>
    <mergeCell ref="B90:B101"/>
    <mergeCell ref="C306:C317"/>
    <mergeCell ref="C522:C533"/>
    <mergeCell ref="B366:B377"/>
    <mergeCell ref="A174:A185"/>
    <mergeCell ref="A354:A365"/>
    <mergeCell ref="B18:B29"/>
    <mergeCell ref="B294:B305"/>
    <mergeCell ref="B234:B245"/>
    <mergeCell ref="A522:A533"/>
    <mergeCell ref="C114:C125"/>
    <mergeCell ref="H615:I616"/>
    <mergeCell ref="A378:A389"/>
    <mergeCell ref="B594:B605"/>
    <mergeCell ref="A282:A293"/>
    <mergeCell ref="B438:B449"/>
    <mergeCell ref="C282:C293"/>
    <mergeCell ref="C138:C149"/>
    <mergeCell ref="B342:B353"/>
    <mergeCell ref="A210:A221"/>
    <mergeCell ref="M3:M5"/>
    <mergeCell ref="A342:A353"/>
    <mergeCell ref="B174:B185"/>
    <mergeCell ref="H1:I1"/>
    <mergeCell ref="C582:C593"/>
    <mergeCell ref="A622:A633"/>
    <mergeCell ref="C438:C449"/>
    <mergeCell ref="B126:B137"/>
    <mergeCell ref="C622:C633"/>
    <mergeCell ref="C366:C377"/>
    <mergeCell ref="A258:A269"/>
    <mergeCell ref="B474:B485"/>
    <mergeCell ref="B330:B341"/>
    <mergeCell ref="A534:A545"/>
    <mergeCell ref="C534:C545"/>
    <mergeCell ref="C126:C137"/>
    <mergeCell ref="A462:A473"/>
    <mergeCell ref="B3:B5"/>
    <mergeCell ref="C18:C29"/>
    <mergeCell ref="B150:B161"/>
    <mergeCell ref="K615:L615"/>
    <mergeCell ref="C294:C305"/>
    <mergeCell ref="J1:M1"/>
    <mergeCell ref="A222:A233"/>
    <mergeCell ref="A66:A77"/>
    <mergeCell ref="E615:F615"/>
    <mergeCell ref="A498:A509"/>
    <mergeCell ref="B450:B461"/>
    <mergeCell ref="C594:C605"/>
    <mergeCell ref="A6:A17"/>
    <mergeCell ref="E614:F614"/>
    <mergeCell ref="B622:B633"/>
    <mergeCell ref="H609:I610"/>
    <mergeCell ref="B210:B221"/>
    <mergeCell ref="B426:B437"/>
    <mergeCell ref="C270:C281"/>
    <mergeCell ref="A306:A317"/>
    <mergeCell ref="E616:F616"/>
    <mergeCell ref="C546:C557"/>
    <mergeCell ref="A3:A5"/>
    <mergeCell ref="A198:A209"/>
    <mergeCell ref="A42:A53"/>
    <mergeCell ref="B270:B281"/>
    <mergeCell ref="A474:A485"/>
    <mergeCell ref="A318:A329"/>
    <mergeCell ref="C474:C485"/>
    <mergeCell ref="B162:B173"/>
    <mergeCell ref="I2:J2"/>
    <mergeCell ref="B570:B581"/>
    <mergeCell ref="C258:C269"/>
    <mergeCell ref="B462:B473"/>
    <mergeCell ref="B546:B557"/>
    <mergeCell ref="B222:B233"/>
    <mergeCell ref="H613:I613"/>
    <mergeCell ref="B498:B509"/>
    <mergeCell ref="A186:A197"/>
    <mergeCell ref="C6:C17"/>
    <mergeCell ref="C186:C197"/>
    <mergeCell ref="B390:B401"/>
    <mergeCell ref="C78:C89"/>
    <mergeCell ref="B522:B533"/>
    <mergeCell ref="C558:C569"/>
    <mergeCell ref="C3:C5"/>
    <mergeCell ref="A114:A125"/>
    <mergeCell ref="C354:C365"/>
    <mergeCell ref="B138:B149"/>
    <mergeCell ref="P617:Q617"/>
    <mergeCell ref="A486:A497"/>
    <mergeCell ref="B414:B425"/>
    <mergeCell ref="A54:A65"/>
    <mergeCell ref="A138:A149"/>
    <mergeCell ref="H614:I614"/>
    <mergeCell ref="C54:C65"/>
    <mergeCell ref="C378:C389"/>
    <mergeCell ref="C390:C401"/>
    <mergeCell ref="C234:C245"/>
    <mergeCell ref="C510:C521"/>
    <mergeCell ref="A162:A173"/>
    <mergeCell ref="C162:C173"/>
    <mergeCell ref="A582:A593"/>
    <mergeCell ref="B102:B113"/>
    <mergeCell ref="A438:A449"/>
    <mergeCell ref="G3:L4"/>
    <mergeCell ref="A330:A341"/>
    <mergeCell ref="A90:A101"/>
    <mergeCell ref="A366:A377"/>
    <mergeCell ref="D3:F4"/>
    <mergeCell ref="C198:C209"/>
    <mergeCell ref="B402:B413"/>
    <mergeCell ref="B246:B257"/>
    <mergeCell ref="B582:B593"/>
    <mergeCell ref="C90:C101"/>
    <mergeCell ref="A126:A137"/>
    <mergeCell ref="C222:C233"/>
    <mergeCell ref="A18:A29"/>
    <mergeCell ref="C498:C509"/>
    <mergeCell ref="A294:A305"/>
    <mergeCell ref="A414:A425"/>
    <mergeCell ref="C150:C161"/>
    <mergeCell ref="B534:B545"/>
    <mergeCell ref="B114:B125"/>
    <mergeCell ref="C174:C185"/>
    <mergeCell ref="C414:C425"/>
    <mergeCell ref="A594:A605"/>
    <mergeCell ref="B378:B389"/>
    <mergeCell ref="A150:A161"/>
    <mergeCell ref="C450:C461"/>
    <mergeCell ref="C66:C77"/>
    <mergeCell ref="A102:A113"/>
    <mergeCell ref="C342:C353"/>
    <mergeCell ref="C102:C113"/>
    <mergeCell ref="B66:B77"/>
    <mergeCell ref="A270:A281"/>
    <mergeCell ref="A450:A461"/>
    <mergeCell ref="A402:A413"/>
    <mergeCell ref="A30:A41"/>
    <mergeCell ref="C30:C41"/>
    <mergeCell ref="A570:A581"/>
    <mergeCell ref="C210:C221"/>
    <mergeCell ref="C570:C581"/>
    <mergeCell ref="J615:J616"/>
    <mergeCell ref="A426:A437"/>
    <mergeCell ref="C426:C437"/>
    <mergeCell ref="C486:C497"/>
    <mergeCell ref="C330:C341"/>
    <mergeCell ref="E2:F2"/>
    <mergeCell ref="E612:G612"/>
    <mergeCell ref="A606:C607"/>
    <mergeCell ref="B42:B53"/>
    <mergeCell ref="B318:B329"/>
    <mergeCell ref="A558:A569"/>
    <mergeCell ref="B258:B269"/>
    <mergeCell ref="C462:C473"/>
    <mergeCell ref="B510:B521"/>
    <mergeCell ref="B6:B17"/>
    <mergeCell ref="B186:B197"/>
  </mergeCells>
  <dataValidations count="6">
    <dataValidation sqref="F622:F633" showDropDown="0" showInputMessage="1" showErrorMessage="1" allowBlank="1" type="decimal" operator="greaterThan">
      <formula1>0</formula1>
    </dataValidation>
    <dataValidation sqref="E622:E633" showDropDown="0" showInputMessage="1" showErrorMessage="1" allowBlank="1" type="whole" operator="greaterThan">
      <formula1>0</formula1>
    </dataValidation>
    <dataValidation sqref="G622:I633" showDropDown="0" showInputMessage="1" showErrorMessage="1" allowBlank="1" type="whole" operator="notEqual">
      <formula1>0</formula1>
    </dataValidation>
    <dataValidation sqref="C622:C633" showDropDown="0" showInputMessage="1" showErrorMessage="1" allowBlank="1" type="list">
      <formula1>#REF!</formula1>
    </dataValidation>
    <dataValidation sqref="G2" showDropDown="0" showInputMessage="1" showErrorMessage="1" allowBlank="1" type="list">
      <formula1>"12,11,10,9,8,7,6,5,4,3,2,1"</formula1>
    </dataValidation>
    <dataValidation sqref="C6:C605" showDropDown="0" showInputMessage="1" showErrorMessage="1" allowBlank="1" type="list">
      <formula1>"知的,精神,身体,顕著な障がい種別"</formula1>
    </dataValidation>
  </dataValidations>
  <pageMargins left="0.7086614173228347" right="0.3937007874015748" top="0.7480314960629921" bottom="0.7480314960629921" header="0.3149606299212598" footer="0.3149606299212598"/>
  <pageSetup orientation="portrait" paperSize="9" scale="69" fitToHeight="0"/>
  <rowBreaks count="10" manualBreakCount="10">
    <brk id="65" min="0" max="12" man="1"/>
    <brk id="125" min="0" max="12" man="1"/>
    <brk id="185" min="0" max="12" man="1"/>
    <brk id="245" min="0" max="12" man="1"/>
    <brk id="305" min="0" max="12" man="1"/>
    <brk id="365" min="0" max="12" man="1"/>
    <brk id="425" min="0" max="12" man="1"/>
    <brk id="485" min="0" max="12" man="1"/>
    <brk id="545" min="0" max="12" man="1"/>
    <brk id="617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1"/>
  <sheetViews>
    <sheetView view="pageBreakPreview" zoomScale="82" zoomScaleNormal="90" zoomScaleSheetLayoutView="82" workbookViewId="0">
      <pane ySplit="5" topLeftCell="A22" activePane="bottomLeft" state="frozen"/>
      <selection pane="bottomLeft" activeCell="E2" sqref="E2:F2"/>
    </sheetView>
  </sheetViews>
  <sheetFormatPr baseColWidth="8" defaultRowHeight="13.5"/>
  <cols>
    <col width="5.625" customWidth="1" style="170" min="1" max="1"/>
    <col width="15.5" customWidth="1" style="170" min="2" max="2"/>
    <col width="7.75" customWidth="1" style="170" min="3" max="3"/>
    <col width="5.625" customWidth="1" style="170" min="4" max="4"/>
    <col width="8.375" customWidth="1" style="170" min="5" max="5"/>
    <col width="11.875" customWidth="1" style="170" min="6" max="6"/>
    <col width="12.125" customWidth="1" style="170" min="7" max="7"/>
    <col width="9.25" customWidth="1" style="170" min="8" max="9"/>
    <col width="12.125" customWidth="1" style="170" min="10" max="10"/>
    <col width="8.625" customWidth="1" style="170" min="11" max="12"/>
    <col width="20" customWidth="1" style="170" min="13" max="13"/>
    <col width="9" customWidth="1" style="170" min="14" max="16384"/>
  </cols>
  <sheetData>
    <row r="1" ht="19.5" customHeight="1" s="272">
      <c r="E1" s="171" t="inlineStr">
        <is>
          <t>令和</t>
        </is>
      </c>
      <c r="F1" s="172" t="n">
        <v>7</v>
      </c>
      <c r="G1" s="173" t="inlineStr">
        <is>
          <t>年度</t>
        </is>
      </c>
      <c r="H1" s="273" t="inlineStr">
        <is>
          <t>事業所名</t>
        </is>
      </c>
      <c r="I1" s="274" t="n"/>
      <c r="J1" s="102" t="inlineStr">
        <is>
          <t>○○事業所</t>
        </is>
      </c>
      <c r="K1" s="289" t="n"/>
      <c r="L1" s="289" t="n"/>
      <c r="M1" s="274" t="n"/>
    </row>
    <row r="2" ht="19.5" customHeight="1" s="272">
      <c r="E2" s="176" t="inlineStr">
        <is>
          <t>年間開所月数</t>
        </is>
      </c>
      <c r="F2" s="277" t="n"/>
      <c r="G2" s="82" t="n">
        <v>12</v>
      </c>
      <c r="H2" s="177" t="inlineStr">
        <is>
          <t>月</t>
        </is>
      </c>
      <c r="I2" s="176" t="inlineStr">
        <is>
          <t>年間開所日数</t>
        </is>
      </c>
      <c r="J2" s="277" t="n"/>
      <c r="K2" s="84" t="n">
        <v>280</v>
      </c>
      <c r="L2" s="178" t="inlineStr">
        <is>
          <t>日</t>
        </is>
      </c>
      <c r="M2" s="179" t="n"/>
    </row>
    <row r="3" ht="19.5" customHeight="1" s="272">
      <c r="A3" s="278" t="inlineStr">
        <is>
          <t>整理
番号</t>
        </is>
      </c>
      <c r="B3" s="279" t="inlineStr">
        <is>
          <t>利用者氏名</t>
        </is>
      </c>
      <c r="C3" s="280" t="inlineStr">
        <is>
          <t>障がい
種別</t>
        </is>
      </c>
      <c r="D3" s="281" t="inlineStr">
        <is>
          <t>利用状況</t>
        </is>
      </c>
      <c r="E3" s="282" t="n"/>
      <c r="F3" s="282" t="n"/>
      <c r="G3" s="283" t="inlineStr">
        <is>
          <t>支　　払　　工　　賃
【給与、賃金、手当その他名称を問わず利用者に支払った金銭】</t>
        </is>
      </c>
      <c r="H3" s="282" t="n"/>
      <c r="I3" s="282" t="n"/>
      <c r="J3" s="282" t="n"/>
      <c r="K3" s="282" t="n"/>
      <c r="L3" s="284" t="n"/>
      <c r="M3" s="285" t="inlineStr">
        <is>
          <t>備　　考
大きな増減理由
工賃支給がない理由
調整した理由　など</t>
        </is>
      </c>
    </row>
    <row r="4" ht="19.5" customHeight="1" s="272">
      <c r="A4" s="286" t="n"/>
      <c r="B4" s="287" t="n"/>
      <c r="C4" s="287" t="n"/>
      <c r="D4" s="288" t="n"/>
      <c r="E4" s="289" t="n"/>
      <c r="F4" s="289" t="n"/>
      <c r="G4" s="288" t="n"/>
      <c r="H4" s="289" t="n"/>
      <c r="I4" s="289" t="n"/>
      <c r="J4" s="289" t="n"/>
      <c r="K4" s="289" t="n"/>
      <c r="L4" s="274" t="n"/>
      <c r="M4" s="287" t="n"/>
    </row>
    <row r="5" ht="19.5" customHeight="1" s="272">
      <c r="A5" s="288" t="n"/>
      <c r="B5" s="290" t="n"/>
      <c r="C5" s="290" t="n"/>
      <c r="D5" s="199" t="inlineStr">
        <is>
          <t>月</t>
        </is>
      </c>
      <c r="E5" s="200" t="inlineStr">
        <is>
          <t>日数</t>
        </is>
      </c>
      <c r="F5" s="201" t="inlineStr">
        <is>
          <t>時間数</t>
        </is>
      </c>
      <c r="G5" s="199" t="inlineStr">
        <is>
          <t>基本額</t>
        </is>
      </c>
      <c r="H5" s="200" t="inlineStr">
        <is>
          <t>賞与等</t>
        </is>
      </c>
      <c r="I5" s="201" t="inlineStr">
        <is>
          <t>調整等</t>
        </is>
      </c>
      <c r="J5" s="202" t="inlineStr">
        <is>
          <t>支払額</t>
        </is>
      </c>
      <c r="K5" s="202" t="inlineStr">
        <is>
          <t>日額</t>
        </is>
      </c>
      <c r="L5" s="202" t="inlineStr">
        <is>
          <t>時間額</t>
        </is>
      </c>
      <c r="M5" s="290" t="n"/>
    </row>
    <row r="6" ht="15" customHeight="1" s="272">
      <c r="A6" s="291" t="n">
        <v>1</v>
      </c>
      <c r="B6" s="336" t="inlineStr">
        <is>
          <t>大分　太郎</t>
        </is>
      </c>
      <c r="C6" s="336" t="inlineStr">
        <is>
          <t>身体</t>
        </is>
      </c>
      <c r="D6" s="205" t="inlineStr">
        <is>
          <t>4月</t>
        </is>
      </c>
      <c r="E6" s="355" t="n">
        <v>15</v>
      </c>
      <c r="F6" s="356" t="n">
        <v>93.75</v>
      </c>
      <c r="G6" s="357" t="n">
        <v>16500</v>
      </c>
      <c r="H6" s="358" t="n"/>
      <c r="I6" s="359" t="n"/>
      <c r="J6" s="297">
        <f>G6+H6+I6</f>
        <v/>
      </c>
      <c r="K6" s="297">
        <f>J6/E6</f>
        <v/>
      </c>
      <c r="L6" s="297">
        <f>J6/F6</f>
        <v/>
      </c>
      <c r="M6" s="73" t="n"/>
    </row>
    <row r="7" ht="15" customHeight="1" s="272">
      <c r="A7" s="287" t="n"/>
      <c r="B7" s="287" t="n"/>
      <c r="C7" s="287" t="n"/>
      <c r="D7" s="208" t="inlineStr">
        <is>
          <t>5月</t>
        </is>
      </c>
      <c r="E7" s="360" t="n">
        <v>16</v>
      </c>
      <c r="F7" s="361" t="n">
        <v>100</v>
      </c>
      <c r="G7" s="362" t="n">
        <v>18700</v>
      </c>
      <c r="H7" s="363" t="n"/>
      <c r="I7" s="364" t="n"/>
      <c r="J7" s="304">
        <f>G7+H7+I7</f>
        <v/>
      </c>
      <c r="K7" s="304">
        <f>J7/E7</f>
        <v/>
      </c>
      <c r="L7" s="304">
        <f>J7/F7</f>
        <v/>
      </c>
      <c r="M7" s="74" t="inlineStr">
        <is>
          <t>１日分誤支給</t>
        </is>
      </c>
    </row>
    <row r="8" ht="15" customHeight="1" s="272">
      <c r="A8" s="287" t="n"/>
      <c r="B8" s="287" t="n"/>
      <c r="C8" s="287" t="n"/>
      <c r="D8" s="208" t="inlineStr">
        <is>
          <t>6月</t>
        </is>
      </c>
      <c r="E8" s="360" t="n">
        <v>18</v>
      </c>
      <c r="F8" s="361" t="n">
        <v>112.5</v>
      </c>
      <c r="G8" s="362" t="n">
        <v>19800</v>
      </c>
      <c r="H8" s="363" t="n"/>
      <c r="I8" s="364" t="n"/>
      <c r="J8" s="304">
        <f>G8+H8+I8</f>
        <v/>
      </c>
      <c r="K8" s="304">
        <f>J8/E8</f>
        <v/>
      </c>
      <c r="L8" s="304">
        <f>J8/F8</f>
        <v/>
      </c>
      <c r="M8" s="74" t="n"/>
    </row>
    <row r="9" ht="15" customHeight="1" s="272">
      <c r="A9" s="287" t="n"/>
      <c r="B9" s="287" t="n"/>
      <c r="C9" s="287" t="n"/>
      <c r="D9" s="208" t="inlineStr">
        <is>
          <t>7月</t>
        </is>
      </c>
      <c r="E9" s="360" t="n">
        <v>18</v>
      </c>
      <c r="F9" s="361" t="n">
        <v>112.5</v>
      </c>
      <c r="G9" s="362" t="n">
        <v>19800</v>
      </c>
      <c r="H9" s="363" t="n"/>
      <c r="I9" s="364" t="n">
        <v>-1100</v>
      </c>
      <c r="J9" s="304">
        <f>G9+H9+I9</f>
        <v/>
      </c>
      <c r="K9" s="304">
        <f>J9/E9</f>
        <v/>
      </c>
      <c r="L9" s="304">
        <f>J9/F9</f>
        <v/>
      </c>
      <c r="M9" s="74" t="inlineStr">
        <is>
          <t>５月分支給調整</t>
        </is>
      </c>
    </row>
    <row r="10" ht="15" customHeight="1" s="272">
      <c r="A10" s="287" t="n"/>
      <c r="B10" s="287" t="n"/>
      <c r="C10" s="287" t="n"/>
      <c r="D10" s="208" t="inlineStr">
        <is>
          <t>8月</t>
        </is>
      </c>
      <c r="E10" s="360" t="n">
        <v>16</v>
      </c>
      <c r="F10" s="361" t="n">
        <v>100</v>
      </c>
      <c r="G10" s="362" t="n">
        <v>17550</v>
      </c>
      <c r="H10" s="363" t="n">
        <v>1000</v>
      </c>
      <c r="I10" s="364" t="n"/>
      <c r="J10" s="304">
        <f>G10+H10+I10</f>
        <v/>
      </c>
      <c r="K10" s="304">
        <f>J10/E10</f>
        <v/>
      </c>
      <c r="L10" s="304">
        <f>J10/F10</f>
        <v/>
      </c>
      <c r="M10" s="74" t="n"/>
    </row>
    <row r="11" ht="15" customHeight="1" s="272">
      <c r="A11" s="287" t="n"/>
      <c r="B11" s="287" t="n"/>
      <c r="C11" s="287" t="n"/>
      <c r="D11" s="208" t="inlineStr">
        <is>
          <t>9月</t>
        </is>
      </c>
      <c r="E11" s="360" t="n">
        <v>18</v>
      </c>
      <c r="F11" s="361" t="n">
        <v>108</v>
      </c>
      <c r="G11" s="362" t="n">
        <v>19800</v>
      </c>
      <c r="H11" s="363" t="n"/>
      <c r="I11" s="364" t="n"/>
      <c r="J11" s="304">
        <f>G11+H11+I11</f>
        <v/>
      </c>
      <c r="K11" s="304">
        <f>J11/E11</f>
        <v/>
      </c>
      <c r="L11" s="304">
        <f>J11/F11</f>
        <v/>
      </c>
      <c r="M11" s="74" t="n"/>
    </row>
    <row r="12" ht="15" customHeight="1" s="272">
      <c r="A12" s="287" t="n"/>
      <c r="B12" s="287" t="n"/>
      <c r="C12" s="287" t="n"/>
      <c r="D12" s="208" t="inlineStr">
        <is>
          <t>10月</t>
        </is>
      </c>
      <c r="E12" s="360" t="n">
        <v>16</v>
      </c>
      <c r="F12" s="361" t="n">
        <v>100</v>
      </c>
      <c r="G12" s="362" t="n">
        <v>16000</v>
      </c>
      <c r="H12" s="363" t="n"/>
      <c r="I12" s="364" t="n"/>
      <c r="J12" s="304">
        <f>G12+H12+I12</f>
        <v/>
      </c>
      <c r="K12" s="304">
        <f>J12/E12</f>
        <v/>
      </c>
      <c r="L12" s="304">
        <f>J12/F12</f>
        <v/>
      </c>
      <c r="M12" s="74" t="n"/>
    </row>
    <row r="13" ht="15" customHeight="1" s="272">
      <c r="A13" s="287" t="n"/>
      <c r="B13" s="287" t="n"/>
      <c r="C13" s="287" t="n"/>
      <c r="D13" s="208" t="inlineStr">
        <is>
          <t>11月</t>
        </is>
      </c>
      <c r="E13" s="360" t="n">
        <v>18</v>
      </c>
      <c r="F13" s="361" t="n">
        <v>112.5</v>
      </c>
      <c r="G13" s="362" t="n">
        <v>18000</v>
      </c>
      <c r="H13" s="363" t="n"/>
      <c r="I13" s="364" t="n"/>
      <c r="J13" s="304">
        <f>G13+H13+I13</f>
        <v/>
      </c>
      <c r="K13" s="304">
        <f>J13/E13</f>
        <v/>
      </c>
      <c r="L13" s="304">
        <f>J13/F13</f>
        <v/>
      </c>
      <c r="M13" s="74" t="n"/>
    </row>
    <row r="14" ht="15" customHeight="1" s="272">
      <c r="A14" s="287" t="n"/>
      <c r="B14" s="287" t="n"/>
      <c r="C14" s="287" t="n"/>
      <c r="D14" s="208" t="inlineStr">
        <is>
          <t>12月</t>
        </is>
      </c>
      <c r="E14" s="360" t="n">
        <v>19</v>
      </c>
      <c r="F14" s="361" t="n">
        <v>118</v>
      </c>
      <c r="G14" s="362" t="n">
        <v>21000</v>
      </c>
      <c r="H14" s="363" t="n">
        <v>500</v>
      </c>
      <c r="I14" s="364" t="n"/>
      <c r="J14" s="304">
        <f>G14+H14+I14</f>
        <v/>
      </c>
      <c r="K14" s="304">
        <f>J14/E14</f>
        <v/>
      </c>
      <c r="L14" s="304">
        <f>J14/F14</f>
        <v/>
      </c>
      <c r="M14" s="74" t="n"/>
    </row>
    <row r="15" ht="15" customHeight="1" s="272">
      <c r="A15" s="287" t="n"/>
      <c r="B15" s="287" t="n"/>
      <c r="C15" s="287" t="n"/>
      <c r="D15" s="208" t="inlineStr">
        <is>
          <t>1月</t>
        </is>
      </c>
      <c r="E15" s="360" t="n">
        <v>19</v>
      </c>
      <c r="F15" s="361" t="n">
        <v>118</v>
      </c>
      <c r="G15" s="362" t="n">
        <v>4500</v>
      </c>
      <c r="H15" s="363" t="n"/>
      <c r="I15" s="364" t="n"/>
      <c r="J15" s="304">
        <f>G15+H15+I15</f>
        <v/>
      </c>
      <c r="K15" s="304">
        <f>J15/E15</f>
        <v/>
      </c>
      <c r="L15" s="304">
        <f>J15/F15</f>
        <v/>
      </c>
      <c r="M15" s="74" t="n"/>
    </row>
    <row r="16" ht="15" customHeight="1" s="272">
      <c r="A16" s="287" t="n"/>
      <c r="B16" s="287" t="n"/>
      <c r="C16" s="287" t="n"/>
      <c r="D16" s="208" t="inlineStr">
        <is>
          <t>2月</t>
        </is>
      </c>
      <c r="E16" s="360" t="n">
        <v>19</v>
      </c>
      <c r="F16" s="361" t="n">
        <v>118</v>
      </c>
      <c r="G16" s="362" t="n">
        <v>900</v>
      </c>
      <c r="H16" s="363" t="n"/>
      <c r="I16" s="364" t="n"/>
      <c r="J16" s="304">
        <f>G16+H16+I16</f>
        <v/>
      </c>
      <c r="K16" s="304">
        <f>J16/E16</f>
        <v/>
      </c>
      <c r="L16" s="304">
        <f>J16/F16</f>
        <v/>
      </c>
      <c r="M16" s="74" t="n"/>
    </row>
    <row r="17" ht="15" customHeight="1" s="272">
      <c r="A17" s="290" t="n"/>
      <c r="B17" s="290" t="n"/>
      <c r="C17" s="290" t="n"/>
      <c r="D17" s="211" t="inlineStr">
        <is>
          <t>3月</t>
        </is>
      </c>
      <c r="E17" s="365" t="n">
        <v>19</v>
      </c>
      <c r="F17" s="366" t="n">
        <v>118</v>
      </c>
      <c r="G17" s="367" t="n">
        <v>4500</v>
      </c>
      <c r="H17" s="368" t="n"/>
      <c r="I17" s="369" t="n"/>
      <c r="J17" s="311">
        <f>G17+H17+I17</f>
        <v/>
      </c>
      <c r="K17" s="311">
        <f>J17/E17</f>
        <v/>
      </c>
      <c r="L17" s="311">
        <f>J17/F17</f>
        <v/>
      </c>
      <c r="M17" s="75" t="n"/>
    </row>
    <row r="18" ht="15" customHeight="1" s="272">
      <c r="A18" s="291" t="n">
        <v>2</v>
      </c>
      <c r="B18" s="336" t="inlineStr">
        <is>
          <t>別府　次郎</t>
        </is>
      </c>
      <c r="C18" s="336" t="inlineStr">
        <is>
          <t>知的</t>
        </is>
      </c>
      <c r="D18" s="205" t="inlineStr">
        <is>
          <t>4月</t>
        </is>
      </c>
      <c r="E18" s="355" t="n"/>
      <c r="F18" s="356" t="n"/>
      <c r="G18" s="357" t="n"/>
      <c r="H18" s="358" t="n"/>
      <c r="I18" s="359" t="n"/>
      <c r="J18" s="297">
        <f>G18+H18+I18</f>
        <v/>
      </c>
      <c r="K18" s="297">
        <f>J18/E18</f>
        <v/>
      </c>
      <c r="L18" s="297">
        <f>J18/F18</f>
        <v/>
      </c>
      <c r="M18" s="73" t="n"/>
    </row>
    <row r="19" ht="15" customHeight="1" s="272">
      <c r="A19" s="287" t="n"/>
      <c r="B19" s="287" t="n"/>
      <c r="C19" s="287" t="n"/>
      <c r="D19" s="208" t="inlineStr">
        <is>
          <t>5月</t>
        </is>
      </c>
      <c r="E19" s="360" t="n"/>
      <c r="F19" s="361" t="n"/>
      <c r="G19" s="362" t="n"/>
      <c r="H19" s="363" t="n"/>
      <c r="I19" s="364" t="n"/>
      <c r="J19" s="304">
        <f>G19+H19+I19</f>
        <v/>
      </c>
      <c r="K19" s="304">
        <f>J19/E19</f>
        <v/>
      </c>
      <c r="L19" s="304">
        <f>J19/F19</f>
        <v/>
      </c>
      <c r="M19" s="74" t="inlineStr">
        <is>
          <t>利用開始（5/14）</t>
        </is>
      </c>
    </row>
    <row r="20" ht="15" customHeight="1" s="272">
      <c r="A20" s="287" t="n"/>
      <c r="B20" s="287" t="n"/>
      <c r="C20" s="287" t="n"/>
      <c r="D20" s="208" t="inlineStr">
        <is>
          <t>6月</t>
        </is>
      </c>
      <c r="E20" s="360" t="n">
        <v>18</v>
      </c>
      <c r="F20" s="361" t="n">
        <v>112.5</v>
      </c>
      <c r="G20" s="362" t="n">
        <v>18000</v>
      </c>
      <c r="H20" s="363" t="n"/>
      <c r="I20" s="364" t="n"/>
      <c r="J20" s="304">
        <f>G20+H20+I20</f>
        <v/>
      </c>
      <c r="K20" s="304">
        <f>J20/E20</f>
        <v/>
      </c>
      <c r="L20" s="304">
        <f>J20/F20</f>
        <v/>
      </c>
      <c r="M20" s="74" t="n"/>
    </row>
    <row r="21" ht="15" customHeight="1" s="272">
      <c r="A21" s="287" t="n"/>
      <c r="B21" s="287" t="n"/>
      <c r="C21" s="287" t="n"/>
      <c r="D21" s="208" t="inlineStr">
        <is>
          <t>7月</t>
        </is>
      </c>
      <c r="E21" s="360" t="n">
        <v>15</v>
      </c>
      <c r="F21" s="361" t="n">
        <v>93.75</v>
      </c>
      <c r="G21" s="362" t="n">
        <v>16500</v>
      </c>
      <c r="H21" s="363" t="n"/>
      <c r="I21" s="364" t="n"/>
      <c r="J21" s="304">
        <f>G21+H21+I21</f>
        <v/>
      </c>
      <c r="K21" s="304">
        <f>J21/E21</f>
        <v/>
      </c>
      <c r="L21" s="304">
        <f>J21/F21</f>
        <v/>
      </c>
      <c r="M21" s="74" t="n"/>
    </row>
    <row r="22" ht="15" customHeight="1" s="272">
      <c r="A22" s="287" t="n"/>
      <c r="B22" s="287" t="n"/>
      <c r="C22" s="287" t="n"/>
      <c r="D22" s="208" t="inlineStr">
        <is>
          <t>8月</t>
        </is>
      </c>
      <c r="E22" s="360" t="n">
        <v>15</v>
      </c>
      <c r="F22" s="361" t="n">
        <v>93.75</v>
      </c>
      <c r="G22" s="362" t="n">
        <v>15000</v>
      </c>
      <c r="H22" s="363" t="n">
        <v>1000</v>
      </c>
      <c r="I22" s="364" t="n"/>
      <c r="J22" s="304">
        <f>G22+H22+I22</f>
        <v/>
      </c>
      <c r="K22" s="304">
        <f>J22/E22</f>
        <v/>
      </c>
      <c r="L22" s="304">
        <f>J22/F22</f>
        <v/>
      </c>
      <c r="M22" s="74" t="n"/>
    </row>
    <row r="23" ht="15" customHeight="1" s="272">
      <c r="A23" s="287" t="n"/>
      <c r="B23" s="287" t="n"/>
      <c r="C23" s="287" t="n"/>
      <c r="D23" s="208" t="inlineStr">
        <is>
          <t>9月</t>
        </is>
      </c>
      <c r="E23" s="360" t="n">
        <v>16</v>
      </c>
      <c r="F23" s="361" t="n">
        <v>100</v>
      </c>
      <c r="G23" s="362" t="n">
        <v>17600</v>
      </c>
      <c r="H23" s="363" t="n"/>
      <c r="I23" s="364" t="n"/>
      <c r="J23" s="304">
        <f>G23+H23+I23</f>
        <v/>
      </c>
      <c r="K23" s="304">
        <f>J23/E23</f>
        <v/>
      </c>
      <c r="L23" s="304">
        <f>J23/F23</f>
        <v/>
      </c>
      <c r="M23" s="74" t="n"/>
    </row>
    <row r="24" ht="15" customHeight="1" s="272">
      <c r="A24" s="287" t="n"/>
      <c r="B24" s="287" t="n"/>
      <c r="C24" s="287" t="n"/>
      <c r="D24" s="208" t="inlineStr">
        <is>
          <t>10月</t>
        </is>
      </c>
      <c r="E24" s="360" t="n"/>
      <c r="F24" s="361" t="n"/>
      <c r="G24" s="362" t="n"/>
      <c r="H24" s="363" t="n"/>
      <c r="I24" s="364" t="n"/>
      <c r="J24" s="304">
        <f>G24+H24+I24</f>
        <v/>
      </c>
      <c r="K24" s="304">
        <f>J24/E24</f>
        <v/>
      </c>
      <c r="L24" s="304">
        <f>J24/F24</f>
        <v/>
      </c>
      <c r="M24" s="74" t="inlineStr">
        <is>
          <t>コロナ感染</t>
        </is>
      </c>
    </row>
    <row r="25" ht="15" customHeight="1" s="272">
      <c r="A25" s="287" t="n"/>
      <c r="B25" s="287" t="n"/>
      <c r="C25" s="287" t="n"/>
      <c r="D25" s="208" t="inlineStr">
        <is>
          <t>11月</t>
        </is>
      </c>
      <c r="E25" s="360" t="n">
        <v>14</v>
      </c>
      <c r="F25" s="361" t="n">
        <v>87.5</v>
      </c>
      <c r="G25" s="362" t="n">
        <v>17500</v>
      </c>
      <c r="H25" s="363" t="n"/>
      <c r="I25" s="364" t="n"/>
      <c r="J25" s="304">
        <f>G25+H25+I25</f>
        <v/>
      </c>
      <c r="K25" s="304">
        <f>J25/E25</f>
        <v/>
      </c>
      <c r="L25" s="304">
        <f>J25/F25</f>
        <v/>
      </c>
      <c r="M25" s="74" t="n"/>
    </row>
    <row r="26" ht="15" customHeight="1" s="272">
      <c r="A26" s="287" t="n"/>
      <c r="B26" s="287" t="n"/>
      <c r="C26" s="287" t="n"/>
      <c r="D26" s="208" t="inlineStr">
        <is>
          <t>12月</t>
        </is>
      </c>
      <c r="E26" s="360" t="n">
        <v>15</v>
      </c>
      <c r="F26" s="361" t="n">
        <v>102.5</v>
      </c>
      <c r="G26" s="362" t="n">
        <v>21000</v>
      </c>
      <c r="H26" s="363" t="n">
        <v>3000</v>
      </c>
      <c r="I26" s="364" t="n"/>
      <c r="J26" s="304">
        <f>G26+H26+I26</f>
        <v/>
      </c>
      <c r="K26" s="304">
        <f>J26/E26</f>
        <v/>
      </c>
      <c r="L26" s="304">
        <f>J26/F26</f>
        <v/>
      </c>
      <c r="M26" s="74" t="inlineStr">
        <is>
          <t>施設外就労</t>
        </is>
      </c>
    </row>
    <row r="27" ht="15" customHeight="1" s="272">
      <c r="A27" s="287" t="n"/>
      <c r="B27" s="287" t="n"/>
      <c r="C27" s="287" t="n"/>
      <c r="D27" s="208" t="inlineStr">
        <is>
          <t>1月</t>
        </is>
      </c>
      <c r="E27" s="360" t="n">
        <v>15</v>
      </c>
      <c r="F27" s="361" t="n">
        <v>102.5</v>
      </c>
      <c r="G27" s="362" t="n">
        <v>21000</v>
      </c>
      <c r="H27" s="363" t="n"/>
      <c r="I27" s="364" t="n"/>
      <c r="J27" s="304">
        <f>G27+H27+I27</f>
        <v/>
      </c>
      <c r="K27" s="304">
        <f>J27/E27</f>
        <v/>
      </c>
      <c r="L27" s="304">
        <f>J27/F27</f>
        <v/>
      </c>
      <c r="M27" s="74" t="inlineStr">
        <is>
          <t>施設外就労</t>
        </is>
      </c>
    </row>
    <row r="28" ht="15" customHeight="1" s="272">
      <c r="A28" s="287" t="n"/>
      <c r="B28" s="287" t="n"/>
      <c r="C28" s="287" t="n"/>
      <c r="D28" s="208" t="inlineStr">
        <is>
          <t>2月</t>
        </is>
      </c>
      <c r="E28" s="360" t="n">
        <v>15</v>
      </c>
      <c r="F28" s="361" t="n">
        <v>102.5</v>
      </c>
      <c r="G28" s="362" t="n">
        <v>21000</v>
      </c>
      <c r="H28" s="363" t="n"/>
      <c r="I28" s="364" t="n"/>
      <c r="J28" s="304">
        <f>G28+H28+I28</f>
        <v/>
      </c>
      <c r="K28" s="304">
        <f>J28/E28</f>
        <v/>
      </c>
      <c r="L28" s="304">
        <f>J28/F28</f>
        <v/>
      </c>
      <c r="M28" s="74" t="inlineStr">
        <is>
          <t>施設外就労</t>
        </is>
      </c>
    </row>
    <row r="29" ht="15" customHeight="1" s="272">
      <c r="A29" s="290" t="n"/>
      <c r="B29" s="290" t="n"/>
      <c r="C29" s="290" t="n"/>
      <c r="D29" s="211" t="inlineStr">
        <is>
          <t>3月</t>
        </is>
      </c>
      <c r="E29" s="365" t="n">
        <v>15</v>
      </c>
      <c r="F29" s="366" t="n">
        <v>102.5</v>
      </c>
      <c r="G29" s="367" t="n">
        <v>21000</v>
      </c>
      <c r="H29" s="368" t="n"/>
      <c r="I29" s="369" t="n"/>
      <c r="J29" s="311">
        <f>G29+H29+I29</f>
        <v/>
      </c>
      <c r="K29" s="311">
        <f>J29/E29</f>
        <v/>
      </c>
      <c r="L29" s="311">
        <f>J29/F29</f>
        <v/>
      </c>
      <c r="M29" s="75" t="inlineStr">
        <is>
          <t>施設外就労</t>
        </is>
      </c>
    </row>
    <row r="30" ht="15" customHeight="1" s="272">
      <c r="A30" s="291" t="n">
        <v>3</v>
      </c>
      <c r="B30" s="336" t="inlineStr">
        <is>
          <t>中津　三郎</t>
        </is>
      </c>
      <c r="C30" s="336" t="inlineStr">
        <is>
          <t>精神</t>
        </is>
      </c>
      <c r="D30" s="205" t="inlineStr">
        <is>
          <t>4月</t>
        </is>
      </c>
      <c r="E30" s="355" t="n">
        <v>15</v>
      </c>
      <c r="F30" s="356" t="n">
        <v>82.5</v>
      </c>
      <c r="G30" s="357" t="n">
        <v>16500</v>
      </c>
      <c r="H30" s="358" t="n"/>
      <c r="I30" s="359" t="n"/>
      <c r="J30" s="297">
        <f>G30+H30+I30</f>
        <v/>
      </c>
      <c r="K30" s="297">
        <f>J30/E30</f>
        <v/>
      </c>
      <c r="L30" s="297">
        <f>J30/F30</f>
        <v/>
      </c>
      <c r="M30" s="73" t="n"/>
    </row>
    <row r="31" ht="15" customHeight="1" s="272">
      <c r="A31" s="287" t="n"/>
      <c r="B31" s="287" t="n"/>
      <c r="C31" s="287" t="n"/>
      <c r="D31" s="208" t="inlineStr">
        <is>
          <t>5月</t>
        </is>
      </c>
      <c r="E31" s="360" t="n">
        <v>15</v>
      </c>
      <c r="F31" s="361" t="n">
        <v>82.5</v>
      </c>
      <c r="G31" s="362" t="n">
        <v>16500</v>
      </c>
      <c r="H31" s="363" t="n"/>
      <c r="I31" s="364" t="n"/>
      <c r="J31" s="304">
        <f>G31+H31+I31</f>
        <v/>
      </c>
      <c r="K31" s="304">
        <f>J31/E31</f>
        <v/>
      </c>
      <c r="L31" s="304">
        <f>J31/F31</f>
        <v/>
      </c>
      <c r="M31" s="74" t="n"/>
    </row>
    <row r="32" ht="15" customHeight="1" s="272">
      <c r="A32" s="287" t="n"/>
      <c r="B32" s="287" t="n"/>
      <c r="C32" s="287" t="n"/>
      <c r="D32" s="208" t="inlineStr">
        <is>
          <t>6月</t>
        </is>
      </c>
      <c r="E32" s="360" t="n">
        <v>16</v>
      </c>
      <c r="F32" s="361" t="n">
        <v>88</v>
      </c>
      <c r="G32" s="362" t="n">
        <v>18200</v>
      </c>
      <c r="H32" s="363" t="n"/>
      <c r="I32" s="364" t="n"/>
      <c r="J32" s="304">
        <f>G32+H32+I32</f>
        <v/>
      </c>
      <c r="K32" s="304">
        <f>J32/E32</f>
        <v/>
      </c>
      <c r="L32" s="304">
        <f>J32/F32</f>
        <v/>
      </c>
      <c r="M32" s="74" t="n"/>
    </row>
    <row r="33" ht="15" customHeight="1" s="272">
      <c r="A33" s="287" t="n"/>
      <c r="B33" s="287" t="n"/>
      <c r="C33" s="287" t="n"/>
      <c r="D33" s="208" t="inlineStr">
        <is>
          <t>7月</t>
        </is>
      </c>
      <c r="E33" s="360" t="n">
        <v>17</v>
      </c>
      <c r="F33" s="361" t="n">
        <v>93.5</v>
      </c>
      <c r="G33" s="362" t="n">
        <v>18700</v>
      </c>
      <c r="H33" s="363" t="n"/>
      <c r="I33" s="364" t="n"/>
      <c r="J33" s="304">
        <f>G33+H33+I33</f>
        <v/>
      </c>
      <c r="K33" s="304">
        <f>J33/E33</f>
        <v/>
      </c>
      <c r="L33" s="304">
        <f>J33/F33</f>
        <v/>
      </c>
      <c r="M33" s="74" t="n"/>
    </row>
    <row r="34" ht="15" customHeight="1" s="272">
      <c r="A34" s="287" t="n"/>
      <c r="B34" s="287" t="n"/>
      <c r="C34" s="287" t="n"/>
      <c r="D34" s="208" t="inlineStr">
        <is>
          <t>8月</t>
        </is>
      </c>
      <c r="E34" s="360" t="n">
        <v>13</v>
      </c>
      <c r="F34" s="361" t="n">
        <v>71.5</v>
      </c>
      <c r="G34" s="362" t="n">
        <v>14300</v>
      </c>
      <c r="H34" s="363" t="n">
        <v>1000</v>
      </c>
      <c r="I34" s="364" t="n"/>
      <c r="J34" s="304">
        <f>G34+H34+I34</f>
        <v/>
      </c>
      <c r="K34" s="304">
        <f>J34/E34</f>
        <v/>
      </c>
      <c r="L34" s="304">
        <f>J34/F34</f>
        <v/>
      </c>
      <c r="M34" s="74" t="n"/>
    </row>
    <row r="35" ht="15" customHeight="1" s="272">
      <c r="A35" s="287" t="n"/>
      <c r="B35" s="287" t="n"/>
      <c r="C35" s="287" t="n"/>
      <c r="D35" s="208" t="inlineStr">
        <is>
          <t>9月</t>
        </is>
      </c>
      <c r="E35" s="360" t="n">
        <v>14</v>
      </c>
      <c r="F35" s="361" t="n">
        <v>40</v>
      </c>
      <c r="G35" s="362" t="n">
        <v>13800</v>
      </c>
      <c r="H35" s="363" t="n"/>
      <c r="I35" s="364" t="n"/>
      <c r="J35" s="304">
        <f>G35+H35+I35</f>
        <v/>
      </c>
      <c r="K35" s="304">
        <f>J35/E35</f>
        <v/>
      </c>
      <c r="L35" s="304">
        <f>J35/F35</f>
        <v/>
      </c>
      <c r="M35" s="74" t="n"/>
    </row>
    <row r="36" ht="15" customHeight="1" s="272">
      <c r="A36" s="287" t="n"/>
      <c r="B36" s="287" t="n"/>
      <c r="C36" s="287" t="n"/>
      <c r="D36" s="208" t="inlineStr">
        <is>
          <t>10月</t>
        </is>
      </c>
      <c r="E36" s="360" t="n">
        <v>10</v>
      </c>
      <c r="F36" s="361" t="n">
        <v>12.5</v>
      </c>
      <c r="G36" s="362" t="n">
        <v>3600</v>
      </c>
      <c r="H36" s="363" t="n"/>
      <c r="I36" s="364" t="n"/>
      <c r="J36" s="304">
        <f>G36+H36+I36</f>
        <v/>
      </c>
      <c r="K36" s="304">
        <f>J36/E36</f>
        <v/>
      </c>
      <c r="L36" s="304">
        <f>J36/F36</f>
        <v/>
      </c>
      <c r="M36" s="74" t="inlineStr">
        <is>
          <t>利用終了(10/27）</t>
        </is>
      </c>
    </row>
    <row r="37" ht="15" customHeight="1" s="272">
      <c r="A37" s="287" t="n"/>
      <c r="B37" s="287" t="n"/>
      <c r="C37" s="287" t="n"/>
      <c r="D37" s="208" t="inlineStr">
        <is>
          <t>11月</t>
        </is>
      </c>
      <c r="E37" s="360" t="n"/>
      <c r="F37" s="361" t="n"/>
      <c r="G37" s="362" t="n"/>
      <c r="H37" s="363" t="n"/>
      <c r="I37" s="364" t="n"/>
      <c r="J37" s="304">
        <f>G37+H37+I37</f>
        <v/>
      </c>
      <c r="K37" s="304">
        <f>J37/E37</f>
        <v/>
      </c>
      <c r="L37" s="304">
        <f>J37/F37</f>
        <v/>
      </c>
      <c r="M37" s="74" t="n"/>
    </row>
    <row r="38" ht="15" customHeight="1" s="272">
      <c r="A38" s="287" t="n"/>
      <c r="B38" s="287" t="n"/>
      <c r="C38" s="287" t="n"/>
      <c r="D38" s="208" t="inlineStr">
        <is>
          <t>12月</t>
        </is>
      </c>
      <c r="E38" s="360" t="n"/>
      <c r="F38" s="361" t="n"/>
      <c r="G38" s="362" t="n"/>
      <c r="H38" s="363" t="n"/>
      <c r="I38" s="364" t="n"/>
      <c r="J38" s="304">
        <f>G38+H38+I38</f>
        <v/>
      </c>
      <c r="K38" s="304">
        <f>J38/E38</f>
        <v/>
      </c>
      <c r="L38" s="304">
        <f>J38/F38</f>
        <v/>
      </c>
      <c r="M38" s="74" t="n"/>
    </row>
    <row r="39" ht="15" customHeight="1" s="272">
      <c r="A39" s="287" t="n"/>
      <c r="B39" s="287" t="n"/>
      <c r="C39" s="287" t="n"/>
      <c r="D39" s="208" t="inlineStr">
        <is>
          <t>1月</t>
        </is>
      </c>
      <c r="E39" s="360" t="n"/>
      <c r="F39" s="361" t="n"/>
      <c r="G39" s="362" t="n"/>
      <c r="H39" s="363" t="n"/>
      <c r="I39" s="364" t="n"/>
      <c r="J39" s="304">
        <f>G39+H39+I39</f>
        <v/>
      </c>
      <c r="K39" s="304">
        <f>J39/E39</f>
        <v/>
      </c>
      <c r="L39" s="304">
        <f>J39/F39</f>
        <v/>
      </c>
      <c r="M39" s="74" t="n"/>
    </row>
    <row r="40" ht="15" customHeight="1" s="272">
      <c r="A40" s="287" t="n"/>
      <c r="B40" s="287" t="n"/>
      <c r="C40" s="287" t="n"/>
      <c r="D40" s="208" t="inlineStr">
        <is>
          <t>2月</t>
        </is>
      </c>
      <c r="E40" s="360" t="n"/>
      <c r="F40" s="361" t="n"/>
      <c r="G40" s="362" t="n"/>
      <c r="H40" s="363" t="n"/>
      <c r="I40" s="364" t="n"/>
      <c r="J40" s="304">
        <f>G40+H40+I40</f>
        <v/>
      </c>
      <c r="K40" s="304">
        <f>J40/E40</f>
        <v/>
      </c>
      <c r="L40" s="304">
        <f>J40/F40</f>
        <v/>
      </c>
      <c r="M40" s="74" t="n"/>
    </row>
    <row r="41" ht="15" customHeight="1" s="272">
      <c r="A41" s="290" t="n"/>
      <c r="B41" s="290" t="n"/>
      <c r="C41" s="290" t="n"/>
      <c r="D41" s="211" t="inlineStr">
        <is>
          <t>3月</t>
        </is>
      </c>
      <c r="E41" s="365" t="n"/>
      <c r="F41" s="366" t="n"/>
      <c r="G41" s="367" t="n"/>
      <c r="H41" s="368" t="n"/>
      <c r="I41" s="369" t="n"/>
      <c r="J41" s="311">
        <f>G41+H41+I41</f>
        <v/>
      </c>
      <c r="K41" s="311">
        <f>J41/E41</f>
        <v/>
      </c>
      <c r="L41" s="311">
        <f>J41/F41</f>
        <v/>
      </c>
      <c r="M41" s="75" t="n"/>
    </row>
    <row r="42" hidden="1" ht="15" customHeight="1" s="272">
      <c r="A42" s="291" t="n">
        <v>4</v>
      </c>
      <c r="B42" s="84" t="n"/>
      <c r="C42" s="84" t="n"/>
      <c r="D42" s="205" t="inlineStr">
        <is>
          <t>4月</t>
        </is>
      </c>
      <c r="E42" s="355" t="n"/>
      <c r="F42" s="356" t="n"/>
      <c r="G42" s="357" t="n"/>
      <c r="H42" s="358" t="n"/>
      <c r="I42" s="359" t="n"/>
      <c r="J42" s="297">
        <f>G42+H42+I42</f>
        <v/>
      </c>
      <c r="K42" s="297">
        <f>J42/E42</f>
        <v/>
      </c>
      <c r="L42" s="297">
        <f>J42/F42</f>
        <v/>
      </c>
      <c r="M42" s="73" t="n"/>
    </row>
    <row r="43" hidden="1" ht="15" customHeight="1" s="272">
      <c r="A43" s="287" t="n"/>
      <c r="B43" s="287" t="n"/>
      <c r="C43" s="287" t="n"/>
      <c r="D43" s="208" t="inlineStr">
        <is>
          <t>5月</t>
        </is>
      </c>
      <c r="E43" s="360" t="n"/>
      <c r="F43" s="361" t="n"/>
      <c r="G43" s="362" t="n"/>
      <c r="H43" s="363" t="n"/>
      <c r="I43" s="364" t="n"/>
      <c r="J43" s="304">
        <f>G43+H43+I43</f>
        <v/>
      </c>
      <c r="K43" s="304">
        <f>J43/E43</f>
        <v/>
      </c>
      <c r="L43" s="304">
        <f>J43/F43</f>
        <v/>
      </c>
      <c r="M43" s="74" t="n"/>
    </row>
    <row r="44" hidden="1" ht="15" customHeight="1" s="272">
      <c r="A44" s="287" t="n"/>
      <c r="B44" s="287" t="n"/>
      <c r="C44" s="287" t="n"/>
      <c r="D44" s="208" t="inlineStr">
        <is>
          <t>6月</t>
        </is>
      </c>
      <c r="E44" s="360" t="n"/>
      <c r="F44" s="361" t="n"/>
      <c r="G44" s="362" t="n"/>
      <c r="H44" s="363" t="n"/>
      <c r="I44" s="364" t="n"/>
      <c r="J44" s="304">
        <f>G44+H44+I44</f>
        <v/>
      </c>
      <c r="K44" s="304">
        <f>J44/E44</f>
        <v/>
      </c>
      <c r="L44" s="304">
        <f>J44/F44</f>
        <v/>
      </c>
      <c r="M44" s="74" t="n"/>
    </row>
    <row r="45" hidden="1" ht="15" customHeight="1" s="272">
      <c r="A45" s="287" t="n"/>
      <c r="B45" s="287" t="n"/>
      <c r="C45" s="287" t="n"/>
      <c r="D45" s="208" t="inlineStr">
        <is>
          <t>7月</t>
        </is>
      </c>
      <c r="E45" s="360" t="n"/>
      <c r="F45" s="361" t="n"/>
      <c r="G45" s="362" t="n"/>
      <c r="H45" s="363" t="n"/>
      <c r="I45" s="364" t="n"/>
      <c r="J45" s="304">
        <f>G45+H45+I45</f>
        <v/>
      </c>
      <c r="K45" s="304">
        <f>J45/E45</f>
        <v/>
      </c>
      <c r="L45" s="304">
        <f>J45/F45</f>
        <v/>
      </c>
      <c r="M45" s="74" t="n"/>
    </row>
    <row r="46" hidden="1" ht="15" customHeight="1" s="272">
      <c r="A46" s="287" t="n"/>
      <c r="B46" s="287" t="n"/>
      <c r="C46" s="287" t="n"/>
      <c r="D46" s="208" t="inlineStr">
        <is>
          <t>8月</t>
        </is>
      </c>
      <c r="E46" s="360" t="n"/>
      <c r="F46" s="361" t="n"/>
      <c r="G46" s="362" t="n"/>
      <c r="H46" s="363" t="n"/>
      <c r="I46" s="364" t="n"/>
      <c r="J46" s="304">
        <f>G46+H46+I46</f>
        <v/>
      </c>
      <c r="K46" s="304">
        <f>J46/E46</f>
        <v/>
      </c>
      <c r="L46" s="304">
        <f>J46/F46</f>
        <v/>
      </c>
      <c r="M46" s="74" t="n"/>
    </row>
    <row r="47" hidden="1" ht="15" customHeight="1" s="272">
      <c r="A47" s="287" t="n"/>
      <c r="B47" s="287" t="n"/>
      <c r="C47" s="287" t="n"/>
      <c r="D47" s="208" t="inlineStr">
        <is>
          <t>9月</t>
        </is>
      </c>
      <c r="E47" s="360" t="n"/>
      <c r="F47" s="361" t="n"/>
      <c r="G47" s="362" t="n"/>
      <c r="H47" s="363" t="n"/>
      <c r="I47" s="364" t="n"/>
      <c r="J47" s="304">
        <f>G47+H47+I47</f>
        <v/>
      </c>
      <c r="K47" s="304">
        <f>J47/E47</f>
        <v/>
      </c>
      <c r="L47" s="304">
        <f>J47/F47</f>
        <v/>
      </c>
      <c r="M47" s="74" t="n"/>
    </row>
    <row r="48" hidden="1" ht="15" customHeight="1" s="272">
      <c r="A48" s="287" t="n"/>
      <c r="B48" s="287" t="n"/>
      <c r="C48" s="287" t="n"/>
      <c r="D48" s="208" t="inlineStr">
        <is>
          <t>10月</t>
        </is>
      </c>
      <c r="E48" s="360" t="n"/>
      <c r="F48" s="361" t="n"/>
      <c r="G48" s="362" t="n"/>
      <c r="H48" s="363" t="n"/>
      <c r="I48" s="364" t="n"/>
      <c r="J48" s="304">
        <f>G48+H48+I48</f>
        <v/>
      </c>
      <c r="K48" s="304">
        <f>J48/E48</f>
        <v/>
      </c>
      <c r="L48" s="304">
        <f>J48/F48</f>
        <v/>
      </c>
      <c r="M48" s="74" t="n"/>
    </row>
    <row r="49" hidden="1" ht="15" customHeight="1" s="272">
      <c r="A49" s="287" t="n"/>
      <c r="B49" s="287" t="n"/>
      <c r="C49" s="287" t="n"/>
      <c r="D49" s="208" t="inlineStr">
        <is>
          <t>11月</t>
        </is>
      </c>
      <c r="E49" s="360" t="n"/>
      <c r="F49" s="361" t="n"/>
      <c r="G49" s="362" t="n"/>
      <c r="H49" s="363" t="n"/>
      <c r="I49" s="364" t="n"/>
      <c r="J49" s="304">
        <f>G49+H49+I49</f>
        <v/>
      </c>
      <c r="K49" s="304">
        <f>J49/E49</f>
        <v/>
      </c>
      <c r="L49" s="304">
        <f>J49/F49</f>
        <v/>
      </c>
      <c r="M49" s="74" t="n"/>
    </row>
    <row r="50" hidden="1" ht="15" customHeight="1" s="272">
      <c r="A50" s="287" t="n"/>
      <c r="B50" s="287" t="n"/>
      <c r="C50" s="287" t="n"/>
      <c r="D50" s="208" t="inlineStr">
        <is>
          <t>12月</t>
        </is>
      </c>
      <c r="E50" s="360" t="n"/>
      <c r="F50" s="361" t="n"/>
      <c r="G50" s="362" t="n"/>
      <c r="H50" s="363" t="n"/>
      <c r="I50" s="364" t="n"/>
      <c r="J50" s="304">
        <f>G50+H50+I50</f>
        <v/>
      </c>
      <c r="K50" s="304">
        <f>J50/E50</f>
        <v/>
      </c>
      <c r="L50" s="304">
        <f>J50/F50</f>
        <v/>
      </c>
      <c r="M50" s="74" t="n"/>
    </row>
    <row r="51" hidden="1" ht="15" customHeight="1" s="272">
      <c r="A51" s="287" t="n"/>
      <c r="B51" s="287" t="n"/>
      <c r="C51" s="287" t="n"/>
      <c r="D51" s="208" t="inlineStr">
        <is>
          <t>1月</t>
        </is>
      </c>
      <c r="E51" s="360" t="n"/>
      <c r="F51" s="361" t="n"/>
      <c r="G51" s="362" t="n"/>
      <c r="H51" s="363" t="n"/>
      <c r="I51" s="364" t="n"/>
      <c r="J51" s="304">
        <f>G51+H51+I51</f>
        <v/>
      </c>
      <c r="K51" s="304">
        <f>J51/E51</f>
        <v/>
      </c>
      <c r="L51" s="304">
        <f>J51/F51</f>
        <v/>
      </c>
      <c r="M51" s="74" t="n"/>
    </row>
    <row r="52" hidden="1" ht="15" customHeight="1" s="272">
      <c r="A52" s="287" t="n"/>
      <c r="B52" s="287" t="n"/>
      <c r="C52" s="287" t="n"/>
      <c r="D52" s="208" t="inlineStr">
        <is>
          <t>2月</t>
        </is>
      </c>
      <c r="E52" s="360" t="n"/>
      <c r="F52" s="361" t="n"/>
      <c r="G52" s="362" t="n"/>
      <c r="H52" s="363" t="n"/>
      <c r="I52" s="364" t="n"/>
      <c r="J52" s="304">
        <f>G52+H52+I52</f>
        <v/>
      </c>
      <c r="K52" s="304">
        <f>J52/E52</f>
        <v/>
      </c>
      <c r="L52" s="304">
        <f>J52/F52</f>
        <v/>
      </c>
      <c r="M52" s="74" t="n"/>
    </row>
    <row r="53" hidden="1" ht="15" customHeight="1" s="272">
      <c r="A53" s="290" t="n"/>
      <c r="B53" s="290" t="n"/>
      <c r="C53" s="290" t="n"/>
      <c r="D53" s="211" t="inlineStr">
        <is>
          <t>3月</t>
        </is>
      </c>
      <c r="E53" s="365" t="n"/>
      <c r="F53" s="366" t="n"/>
      <c r="G53" s="367" t="n"/>
      <c r="H53" s="368" t="n"/>
      <c r="I53" s="369" t="n"/>
      <c r="J53" s="311">
        <f>G53+H53+I53</f>
        <v/>
      </c>
      <c r="K53" s="311">
        <f>J53/E53</f>
        <v/>
      </c>
      <c r="L53" s="311">
        <f>J53/F53</f>
        <v/>
      </c>
      <c r="M53" s="75" t="n"/>
    </row>
    <row r="54" hidden="1" ht="15" customHeight="1" s="272">
      <c r="A54" s="291" t="n">
        <v>5</v>
      </c>
      <c r="B54" s="84" t="n"/>
      <c r="C54" s="84" t="n"/>
      <c r="D54" s="205" t="inlineStr">
        <is>
          <t>4月</t>
        </is>
      </c>
      <c r="E54" s="355" t="n"/>
      <c r="F54" s="356" t="n"/>
      <c r="G54" s="357" t="n"/>
      <c r="H54" s="358" t="n"/>
      <c r="I54" s="359" t="n"/>
      <c r="J54" s="297">
        <f>G54+H54+I54</f>
        <v/>
      </c>
      <c r="K54" s="297">
        <f>J54/E54</f>
        <v/>
      </c>
      <c r="L54" s="297">
        <f>J54/F54</f>
        <v/>
      </c>
      <c r="M54" s="73" t="n"/>
    </row>
    <row r="55" hidden="1" ht="15" customHeight="1" s="272">
      <c r="A55" s="287" t="n"/>
      <c r="B55" s="287" t="n"/>
      <c r="C55" s="287" t="n"/>
      <c r="D55" s="208" t="inlineStr">
        <is>
          <t>5月</t>
        </is>
      </c>
      <c r="E55" s="360" t="n"/>
      <c r="F55" s="361" t="n"/>
      <c r="G55" s="362" t="n"/>
      <c r="H55" s="363" t="n"/>
      <c r="I55" s="364" t="n"/>
      <c r="J55" s="304">
        <f>G55+H55+I55</f>
        <v/>
      </c>
      <c r="K55" s="304">
        <f>J55/E55</f>
        <v/>
      </c>
      <c r="L55" s="304">
        <f>J55/F55</f>
        <v/>
      </c>
      <c r="M55" s="74" t="n"/>
    </row>
    <row r="56" hidden="1" ht="15" customHeight="1" s="272">
      <c r="A56" s="287" t="n"/>
      <c r="B56" s="287" t="n"/>
      <c r="C56" s="287" t="n"/>
      <c r="D56" s="208" t="inlineStr">
        <is>
          <t>6月</t>
        </is>
      </c>
      <c r="E56" s="360" t="n"/>
      <c r="F56" s="361" t="n"/>
      <c r="G56" s="362" t="n"/>
      <c r="H56" s="363" t="n"/>
      <c r="I56" s="364" t="n"/>
      <c r="J56" s="304">
        <f>G56+H56+I56</f>
        <v/>
      </c>
      <c r="K56" s="304">
        <f>J56/E56</f>
        <v/>
      </c>
      <c r="L56" s="304">
        <f>J56/F56</f>
        <v/>
      </c>
      <c r="M56" s="74" t="n"/>
    </row>
    <row r="57" hidden="1" ht="15" customHeight="1" s="272">
      <c r="A57" s="287" t="n"/>
      <c r="B57" s="287" t="n"/>
      <c r="C57" s="287" t="n"/>
      <c r="D57" s="208" t="inlineStr">
        <is>
          <t>7月</t>
        </is>
      </c>
      <c r="E57" s="360" t="n"/>
      <c r="F57" s="361" t="n"/>
      <c r="G57" s="362" t="n"/>
      <c r="H57" s="363" t="n"/>
      <c r="I57" s="364" t="n"/>
      <c r="J57" s="304">
        <f>G57+H57+I57</f>
        <v/>
      </c>
      <c r="K57" s="304">
        <f>J57/E57</f>
        <v/>
      </c>
      <c r="L57" s="304">
        <f>J57/F57</f>
        <v/>
      </c>
      <c r="M57" s="74" t="n"/>
    </row>
    <row r="58" hidden="1" ht="15" customHeight="1" s="272">
      <c r="A58" s="287" t="n"/>
      <c r="B58" s="287" t="n"/>
      <c r="C58" s="287" t="n"/>
      <c r="D58" s="208" t="inlineStr">
        <is>
          <t>8月</t>
        </is>
      </c>
      <c r="E58" s="360" t="n"/>
      <c r="F58" s="361" t="n"/>
      <c r="G58" s="362" t="n"/>
      <c r="H58" s="363" t="n"/>
      <c r="I58" s="364" t="n"/>
      <c r="J58" s="304">
        <f>G58+H58+I58</f>
        <v/>
      </c>
      <c r="K58" s="304">
        <f>J58/E58</f>
        <v/>
      </c>
      <c r="L58" s="304">
        <f>J58/F58</f>
        <v/>
      </c>
      <c r="M58" s="74" t="n"/>
    </row>
    <row r="59" hidden="1" ht="15" customHeight="1" s="272">
      <c r="A59" s="287" t="n"/>
      <c r="B59" s="287" t="n"/>
      <c r="C59" s="287" t="n"/>
      <c r="D59" s="208" t="inlineStr">
        <is>
          <t>9月</t>
        </is>
      </c>
      <c r="E59" s="360" t="n"/>
      <c r="F59" s="361" t="n"/>
      <c r="G59" s="362" t="n"/>
      <c r="H59" s="363" t="n"/>
      <c r="I59" s="364" t="n"/>
      <c r="J59" s="304">
        <f>G59+H59+I59</f>
        <v/>
      </c>
      <c r="K59" s="304">
        <f>J59/E59</f>
        <v/>
      </c>
      <c r="L59" s="304">
        <f>J59/F59</f>
        <v/>
      </c>
      <c r="M59" s="74" t="n"/>
    </row>
    <row r="60" hidden="1" ht="15" customHeight="1" s="272">
      <c r="A60" s="287" t="n"/>
      <c r="B60" s="287" t="n"/>
      <c r="C60" s="287" t="n"/>
      <c r="D60" s="208" t="inlineStr">
        <is>
          <t>10月</t>
        </is>
      </c>
      <c r="E60" s="360" t="n"/>
      <c r="F60" s="361" t="n"/>
      <c r="G60" s="362" t="n"/>
      <c r="H60" s="363" t="n"/>
      <c r="I60" s="364" t="n"/>
      <c r="J60" s="304">
        <f>G60+H60+I60</f>
        <v/>
      </c>
      <c r="K60" s="304">
        <f>J60/E60</f>
        <v/>
      </c>
      <c r="L60" s="304">
        <f>J60/F60</f>
        <v/>
      </c>
      <c r="M60" s="74" t="n"/>
    </row>
    <row r="61" hidden="1" ht="15" customHeight="1" s="272">
      <c r="A61" s="287" t="n"/>
      <c r="B61" s="287" t="n"/>
      <c r="C61" s="287" t="n"/>
      <c r="D61" s="208" t="inlineStr">
        <is>
          <t>11月</t>
        </is>
      </c>
      <c r="E61" s="360" t="n"/>
      <c r="F61" s="361" t="n"/>
      <c r="G61" s="362" t="n"/>
      <c r="H61" s="363" t="n"/>
      <c r="I61" s="364" t="n"/>
      <c r="J61" s="304">
        <f>G61+H61+I61</f>
        <v/>
      </c>
      <c r="K61" s="304">
        <f>J61/E61</f>
        <v/>
      </c>
      <c r="L61" s="304">
        <f>J61/F61</f>
        <v/>
      </c>
      <c r="M61" s="74" t="n"/>
    </row>
    <row r="62" hidden="1" ht="15" customHeight="1" s="272">
      <c r="A62" s="287" t="n"/>
      <c r="B62" s="287" t="n"/>
      <c r="C62" s="287" t="n"/>
      <c r="D62" s="208" t="inlineStr">
        <is>
          <t>12月</t>
        </is>
      </c>
      <c r="E62" s="360" t="n"/>
      <c r="F62" s="361" t="n"/>
      <c r="G62" s="362" t="n"/>
      <c r="H62" s="363" t="n"/>
      <c r="I62" s="364" t="n"/>
      <c r="J62" s="304">
        <f>G62+H62+I62</f>
        <v/>
      </c>
      <c r="K62" s="304">
        <f>J62/E62</f>
        <v/>
      </c>
      <c r="L62" s="304">
        <f>J62/F62</f>
        <v/>
      </c>
      <c r="M62" s="74" t="n"/>
    </row>
    <row r="63" hidden="1" ht="15" customHeight="1" s="272">
      <c r="A63" s="287" t="n"/>
      <c r="B63" s="287" t="n"/>
      <c r="C63" s="287" t="n"/>
      <c r="D63" s="208" t="inlineStr">
        <is>
          <t>1月</t>
        </is>
      </c>
      <c r="E63" s="360" t="n"/>
      <c r="F63" s="361" t="n"/>
      <c r="G63" s="362" t="n"/>
      <c r="H63" s="363" t="n"/>
      <c r="I63" s="364" t="n"/>
      <c r="J63" s="304">
        <f>G63+H63+I63</f>
        <v/>
      </c>
      <c r="K63" s="304">
        <f>J63/E63</f>
        <v/>
      </c>
      <c r="L63" s="304">
        <f>J63/F63</f>
        <v/>
      </c>
      <c r="M63" s="74" t="n"/>
    </row>
    <row r="64" hidden="1" ht="15" customHeight="1" s="272">
      <c r="A64" s="287" t="n"/>
      <c r="B64" s="287" t="n"/>
      <c r="C64" s="287" t="n"/>
      <c r="D64" s="208" t="inlineStr">
        <is>
          <t>2月</t>
        </is>
      </c>
      <c r="E64" s="360" t="n"/>
      <c r="F64" s="361" t="n"/>
      <c r="G64" s="362" t="n"/>
      <c r="H64" s="363" t="n"/>
      <c r="I64" s="364" t="n"/>
      <c r="J64" s="304">
        <f>G64+H64+I64</f>
        <v/>
      </c>
      <c r="K64" s="304">
        <f>J64/E64</f>
        <v/>
      </c>
      <c r="L64" s="304">
        <f>J64/F64</f>
        <v/>
      </c>
      <c r="M64" s="74" t="n"/>
    </row>
    <row r="65" hidden="1" ht="15" customHeight="1" s="272">
      <c r="A65" s="290" t="n"/>
      <c r="B65" s="290" t="n"/>
      <c r="C65" s="290" t="n"/>
      <c r="D65" s="211" t="inlineStr">
        <is>
          <t>3月</t>
        </is>
      </c>
      <c r="E65" s="365" t="n"/>
      <c r="F65" s="366" t="n"/>
      <c r="G65" s="367" t="n"/>
      <c r="H65" s="368" t="n"/>
      <c r="I65" s="369" t="n"/>
      <c r="J65" s="311">
        <f>G65+H65+I65</f>
        <v/>
      </c>
      <c r="K65" s="311">
        <f>J65/E65</f>
        <v/>
      </c>
      <c r="L65" s="311">
        <f>J65/F65</f>
        <v/>
      </c>
      <c r="M65" s="75" t="n"/>
    </row>
    <row r="66" hidden="1" ht="15" customHeight="1" s="272">
      <c r="A66" s="291" t="n">
        <v>6</v>
      </c>
      <c r="B66" s="84" t="n"/>
      <c r="C66" s="84" t="n"/>
      <c r="D66" s="205" t="inlineStr">
        <is>
          <t>4月</t>
        </is>
      </c>
      <c r="E66" s="355" t="n"/>
      <c r="F66" s="356" t="n"/>
      <c r="G66" s="357" t="n"/>
      <c r="H66" s="358" t="n"/>
      <c r="I66" s="359" t="n"/>
      <c r="J66" s="297">
        <f>G66+H66+I66</f>
        <v/>
      </c>
      <c r="K66" s="297">
        <f>J66/E66</f>
        <v/>
      </c>
      <c r="L66" s="297">
        <f>J66/F66</f>
        <v/>
      </c>
      <c r="M66" s="73" t="n"/>
    </row>
    <row r="67" hidden="1" ht="15" customHeight="1" s="272">
      <c r="A67" s="287" t="n"/>
      <c r="B67" s="287" t="n"/>
      <c r="C67" s="287" t="n"/>
      <c r="D67" s="208" t="inlineStr">
        <is>
          <t>5月</t>
        </is>
      </c>
      <c r="E67" s="360" t="n"/>
      <c r="F67" s="361" t="n"/>
      <c r="G67" s="362" t="n"/>
      <c r="H67" s="363" t="n"/>
      <c r="I67" s="364" t="n"/>
      <c r="J67" s="304">
        <f>G67+H67+I67</f>
        <v/>
      </c>
      <c r="K67" s="304">
        <f>J67/E67</f>
        <v/>
      </c>
      <c r="L67" s="304">
        <f>J67/F67</f>
        <v/>
      </c>
      <c r="M67" s="74" t="n"/>
    </row>
    <row r="68" hidden="1" ht="15" customHeight="1" s="272">
      <c r="A68" s="287" t="n"/>
      <c r="B68" s="287" t="n"/>
      <c r="C68" s="287" t="n"/>
      <c r="D68" s="208" t="inlineStr">
        <is>
          <t>6月</t>
        </is>
      </c>
      <c r="E68" s="360" t="n"/>
      <c r="F68" s="361" t="n"/>
      <c r="G68" s="362" t="n"/>
      <c r="H68" s="363" t="n"/>
      <c r="I68" s="364" t="n"/>
      <c r="J68" s="304">
        <f>G68+H68+I68</f>
        <v/>
      </c>
      <c r="K68" s="304">
        <f>J68/E68</f>
        <v/>
      </c>
      <c r="L68" s="304">
        <f>J68/F68</f>
        <v/>
      </c>
      <c r="M68" s="74" t="n"/>
    </row>
    <row r="69" hidden="1" ht="15" customHeight="1" s="272">
      <c r="A69" s="287" t="n"/>
      <c r="B69" s="287" t="n"/>
      <c r="C69" s="287" t="n"/>
      <c r="D69" s="208" t="inlineStr">
        <is>
          <t>7月</t>
        </is>
      </c>
      <c r="E69" s="360" t="n"/>
      <c r="F69" s="361" t="n"/>
      <c r="G69" s="362" t="n"/>
      <c r="H69" s="363" t="n"/>
      <c r="I69" s="364" t="n"/>
      <c r="J69" s="304">
        <f>G69+H69+I69</f>
        <v/>
      </c>
      <c r="K69" s="304">
        <f>J69/E69</f>
        <v/>
      </c>
      <c r="L69" s="304">
        <f>J69/F69</f>
        <v/>
      </c>
      <c r="M69" s="74" t="n"/>
    </row>
    <row r="70" hidden="1" ht="15" customHeight="1" s="272">
      <c r="A70" s="287" t="n"/>
      <c r="B70" s="287" t="n"/>
      <c r="C70" s="287" t="n"/>
      <c r="D70" s="208" t="inlineStr">
        <is>
          <t>8月</t>
        </is>
      </c>
      <c r="E70" s="360" t="n"/>
      <c r="F70" s="361" t="n"/>
      <c r="G70" s="362" t="n"/>
      <c r="H70" s="363" t="n"/>
      <c r="I70" s="364" t="n"/>
      <c r="J70" s="304">
        <f>G70+H70+I70</f>
        <v/>
      </c>
      <c r="K70" s="304">
        <f>J70/E70</f>
        <v/>
      </c>
      <c r="L70" s="304">
        <f>J70/F70</f>
        <v/>
      </c>
      <c r="M70" s="74" t="n"/>
    </row>
    <row r="71" hidden="1" ht="15" customHeight="1" s="272">
      <c r="A71" s="287" t="n"/>
      <c r="B71" s="287" t="n"/>
      <c r="C71" s="287" t="n"/>
      <c r="D71" s="208" t="inlineStr">
        <is>
          <t>9月</t>
        </is>
      </c>
      <c r="E71" s="360" t="n"/>
      <c r="F71" s="361" t="n"/>
      <c r="G71" s="362" t="n"/>
      <c r="H71" s="363" t="n"/>
      <c r="I71" s="364" t="n"/>
      <c r="J71" s="304">
        <f>G71+H71+I71</f>
        <v/>
      </c>
      <c r="K71" s="304">
        <f>J71/E71</f>
        <v/>
      </c>
      <c r="L71" s="304">
        <f>J71/F71</f>
        <v/>
      </c>
      <c r="M71" s="74" t="n"/>
    </row>
    <row r="72" hidden="1" ht="15" customHeight="1" s="272">
      <c r="A72" s="287" t="n"/>
      <c r="B72" s="287" t="n"/>
      <c r="C72" s="287" t="n"/>
      <c r="D72" s="208" t="inlineStr">
        <is>
          <t>10月</t>
        </is>
      </c>
      <c r="E72" s="360" t="n"/>
      <c r="F72" s="361" t="n"/>
      <c r="G72" s="362" t="n"/>
      <c r="H72" s="363" t="n"/>
      <c r="I72" s="364" t="n"/>
      <c r="J72" s="304">
        <f>G72+H72+I72</f>
        <v/>
      </c>
      <c r="K72" s="304">
        <f>J72/E72</f>
        <v/>
      </c>
      <c r="L72" s="304">
        <f>J72/F72</f>
        <v/>
      </c>
      <c r="M72" s="74" t="n"/>
    </row>
    <row r="73" hidden="1" ht="15" customHeight="1" s="272">
      <c r="A73" s="287" t="n"/>
      <c r="B73" s="287" t="n"/>
      <c r="C73" s="287" t="n"/>
      <c r="D73" s="208" t="inlineStr">
        <is>
          <t>11月</t>
        </is>
      </c>
      <c r="E73" s="360" t="n"/>
      <c r="F73" s="361" t="n"/>
      <c r="G73" s="362" t="n"/>
      <c r="H73" s="363" t="n"/>
      <c r="I73" s="364" t="n"/>
      <c r="J73" s="304">
        <f>G73+H73+I73</f>
        <v/>
      </c>
      <c r="K73" s="304">
        <f>J73/E73</f>
        <v/>
      </c>
      <c r="L73" s="304">
        <f>J73/F73</f>
        <v/>
      </c>
      <c r="M73" s="74" t="n"/>
    </row>
    <row r="74" hidden="1" ht="15" customHeight="1" s="272">
      <c r="A74" s="287" t="n"/>
      <c r="B74" s="287" t="n"/>
      <c r="C74" s="287" t="n"/>
      <c r="D74" s="208" t="inlineStr">
        <is>
          <t>12月</t>
        </is>
      </c>
      <c r="E74" s="360" t="n"/>
      <c r="F74" s="361" t="n"/>
      <c r="G74" s="362" t="n"/>
      <c r="H74" s="363" t="n"/>
      <c r="I74" s="364" t="n"/>
      <c r="J74" s="304">
        <f>G74+H74+I74</f>
        <v/>
      </c>
      <c r="K74" s="304">
        <f>J74/E74</f>
        <v/>
      </c>
      <c r="L74" s="304">
        <f>J74/F74</f>
        <v/>
      </c>
      <c r="M74" s="74" t="n"/>
    </row>
    <row r="75" hidden="1" ht="15" customHeight="1" s="272">
      <c r="A75" s="287" t="n"/>
      <c r="B75" s="287" t="n"/>
      <c r="C75" s="287" t="n"/>
      <c r="D75" s="208" t="inlineStr">
        <is>
          <t>1月</t>
        </is>
      </c>
      <c r="E75" s="360" t="n"/>
      <c r="F75" s="361" t="n"/>
      <c r="G75" s="362" t="n"/>
      <c r="H75" s="363" t="n"/>
      <c r="I75" s="364" t="n"/>
      <c r="J75" s="304">
        <f>G75+H75+I75</f>
        <v/>
      </c>
      <c r="K75" s="304">
        <f>J75/E75</f>
        <v/>
      </c>
      <c r="L75" s="304">
        <f>J75/F75</f>
        <v/>
      </c>
      <c r="M75" s="74" t="n"/>
    </row>
    <row r="76" hidden="1" ht="15" customHeight="1" s="272">
      <c r="A76" s="287" t="n"/>
      <c r="B76" s="287" t="n"/>
      <c r="C76" s="287" t="n"/>
      <c r="D76" s="208" t="inlineStr">
        <is>
          <t>2月</t>
        </is>
      </c>
      <c r="E76" s="360" t="n"/>
      <c r="F76" s="361" t="n"/>
      <c r="G76" s="362" t="n"/>
      <c r="H76" s="363" t="n"/>
      <c r="I76" s="364" t="n"/>
      <c r="J76" s="304">
        <f>G76+H76+I76</f>
        <v/>
      </c>
      <c r="K76" s="304">
        <f>J76/E76</f>
        <v/>
      </c>
      <c r="L76" s="304">
        <f>J76/F76</f>
        <v/>
      </c>
      <c r="M76" s="74" t="n"/>
    </row>
    <row r="77" hidden="1" ht="15" customHeight="1" s="272">
      <c r="A77" s="290" t="n"/>
      <c r="B77" s="290" t="n"/>
      <c r="C77" s="290" t="n"/>
      <c r="D77" s="211" t="inlineStr">
        <is>
          <t>3月</t>
        </is>
      </c>
      <c r="E77" s="365" t="n"/>
      <c r="F77" s="366" t="n"/>
      <c r="G77" s="367" t="n"/>
      <c r="H77" s="368" t="n"/>
      <c r="I77" s="369" t="n"/>
      <c r="J77" s="312">
        <f>G77+H77+I77</f>
        <v/>
      </c>
      <c r="K77" s="312">
        <f>J77/E77</f>
        <v/>
      </c>
      <c r="L77" s="312">
        <f>J77/F77</f>
        <v/>
      </c>
      <c r="M77" s="75" t="n"/>
    </row>
    <row r="78" hidden="1" ht="15" customHeight="1" s="272">
      <c r="A78" s="291" t="n">
        <v>7</v>
      </c>
      <c r="B78" s="84" t="n"/>
      <c r="C78" s="84" t="n"/>
      <c r="D78" s="205" t="inlineStr">
        <is>
          <t>4月</t>
        </is>
      </c>
      <c r="E78" s="355" t="n"/>
      <c r="F78" s="356" t="n"/>
      <c r="G78" s="357" t="n"/>
      <c r="H78" s="358" t="n"/>
      <c r="I78" s="359" t="n"/>
      <c r="J78" s="297">
        <f>G78+H78+I78</f>
        <v/>
      </c>
      <c r="K78" s="297">
        <f>J78/E78</f>
        <v/>
      </c>
      <c r="L78" s="297">
        <f>J78/F78</f>
        <v/>
      </c>
      <c r="M78" s="73" t="n"/>
    </row>
    <row r="79" hidden="1" ht="15" customHeight="1" s="272">
      <c r="A79" s="287" t="n"/>
      <c r="B79" s="287" t="n"/>
      <c r="C79" s="287" t="n"/>
      <c r="D79" s="208" t="inlineStr">
        <is>
          <t>5月</t>
        </is>
      </c>
      <c r="E79" s="360" t="n"/>
      <c r="F79" s="361" t="n"/>
      <c r="G79" s="362" t="n"/>
      <c r="H79" s="363" t="n"/>
      <c r="I79" s="364" t="n"/>
      <c r="J79" s="304">
        <f>G79+H79+I79</f>
        <v/>
      </c>
      <c r="K79" s="304">
        <f>J79/E79</f>
        <v/>
      </c>
      <c r="L79" s="304">
        <f>J79/F79</f>
        <v/>
      </c>
      <c r="M79" s="74" t="n"/>
    </row>
    <row r="80" hidden="1" ht="15" customHeight="1" s="272">
      <c r="A80" s="287" t="n"/>
      <c r="B80" s="287" t="n"/>
      <c r="C80" s="287" t="n"/>
      <c r="D80" s="208" t="inlineStr">
        <is>
          <t>6月</t>
        </is>
      </c>
      <c r="E80" s="360" t="n"/>
      <c r="F80" s="361" t="n"/>
      <c r="G80" s="362" t="n"/>
      <c r="H80" s="363" t="n"/>
      <c r="I80" s="364" t="n"/>
      <c r="J80" s="304">
        <f>G80+H80+I80</f>
        <v/>
      </c>
      <c r="K80" s="304">
        <f>J80/E80</f>
        <v/>
      </c>
      <c r="L80" s="304">
        <f>J80/F80</f>
        <v/>
      </c>
      <c r="M80" s="74" t="n"/>
    </row>
    <row r="81" hidden="1" ht="15" customHeight="1" s="272">
      <c r="A81" s="287" t="n"/>
      <c r="B81" s="287" t="n"/>
      <c r="C81" s="287" t="n"/>
      <c r="D81" s="208" t="inlineStr">
        <is>
          <t>7月</t>
        </is>
      </c>
      <c r="E81" s="360" t="n"/>
      <c r="F81" s="361" t="n"/>
      <c r="G81" s="362" t="n"/>
      <c r="H81" s="363" t="n"/>
      <c r="I81" s="364" t="n"/>
      <c r="J81" s="304">
        <f>G81+H81+I81</f>
        <v/>
      </c>
      <c r="K81" s="304">
        <f>J81/E81</f>
        <v/>
      </c>
      <c r="L81" s="304">
        <f>J81/F81</f>
        <v/>
      </c>
      <c r="M81" s="74" t="n"/>
    </row>
    <row r="82" hidden="1" ht="15" customHeight="1" s="272">
      <c r="A82" s="287" t="n"/>
      <c r="B82" s="287" t="n"/>
      <c r="C82" s="287" t="n"/>
      <c r="D82" s="208" t="inlineStr">
        <is>
          <t>8月</t>
        </is>
      </c>
      <c r="E82" s="360" t="n"/>
      <c r="F82" s="361" t="n"/>
      <c r="G82" s="362" t="n"/>
      <c r="H82" s="363" t="n"/>
      <c r="I82" s="364" t="n"/>
      <c r="J82" s="304">
        <f>G82+H82+I82</f>
        <v/>
      </c>
      <c r="K82" s="304">
        <f>J82/E82</f>
        <v/>
      </c>
      <c r="L82" s="304">
        <f>J82/F82</f>
        <v/>
      </c>
      <c r="M82" s="74" t="n"/>
    </row>
    <row r="83" hidden="1" ht="15" customHeight="1" s="272">
      <c r="A83" s="287" t="n"/>
      <c r="B83" s="287" t="n"/>
      <c r="C83" s="287" t="n"/>
      <c r="D83" s="208" t="inlineStr">
        <is>
          <t>9月</t>
        </is>
      </c>
      <c r="E83" s="360" t="n"/>
      <c r="F83" s="361" t="n"/>
      <c r="G83" s="362" t="n"/>
      <c r="H83" s="363" t="n"/>
      <c r="I83" s="364" t="n"/>
      <c r="J83" s="304">
        <f>G83+H83+I83</f>
        <v/>
      </c>
      <c r="K83" s="304">
        <f>J83/E83</f>
        <v/>
      </c>
      <c r="L83" s="304">
        <f>J83/F83</f>
        <v/>
      </c>
      <c r="M83" s="74" t="n"/>
    </row>
    <row r="84" hidden="1" ht="15" customHeight="1" s="272">
      <c r="A84" s="287" t="n"/>
      <c r="B84" s="287" t="n"/>
      <c r="C84" s="287" t="n"/>
      <c r="D84" s="208" t="inlineStr">
        <is>
          <t>10月</t>
        </is>
      </c>
      <c r="E84" s="360" t="n"/>
      <c r="F84" s="361" t="n"/>
      <c r="G84" s="362" t="n"/>
      <c r="H84" s="363" t="n"/>
      <c r="I84" s="364" t="n"/>
      <c r="J84" s="304">
        <f>G84+H84+I84</f>
        <v/>
      </c>
      <c r="K84" s="304">
        <f>J84/E84</f>
        <v/>
      </c>
      <c r="L84" s="304">
        <f>J84/F84</f>
        <v/>
      </c>
      <c r="M84" s="74" t="n"/>
    </row>
    <row r="85" hidden="1" ht="15" customHeight="1" s="272">
      <c r="A85" s="287" t="n"/>
      <c r="B85" s="287" t="n"/>
      <c r="C85" s="287" t="n"/>
      <c r="D85" s="208" t="inlineStr">
        <is>
          <t>11月</t>
        </is>
      </c>
      <c r="E85" s="360" t="n"/>
      <c r="F85" s="361" t="n"/>
      <c r="G85" s="362" t="n"/>
      <c r="H85" s="363" t="n"/>
      <c r="I85" s="364" t="n"/>
      <c r="J85" s="304">
        <f>G85+H85+I85</f>
        <v/>
      </c>
      <c r="K85" s="304">
        <f>J85/E85</f>
        <v/>
      </c>
      <c r="L85" s="304">
        <f>J85/F85</f>
        <v/>
      </c>
      <c r="M85" s="74" t="n"/>
    </row>
    <row r="86" hidden="1" ht="15" customHeight="1" s="272">
      <c r="A86" s="287" t="n"/>
      <c r="B86" s="287" t="n"/>
      <c r="C86" s="287" t="n"/>
      <c r="D86" s="208" t="inlineStr">
        <is>
          <t>12月</t>
        </is>
      </c>
      <c r="E86" s="360" t="n"/>
      <c r="F86" s="361" t="n"/>
      <c r="G86" s="362" t="n"/>
      <c r="H86" s="363" t="n"/>
      <c r="I86" s="364" t="n"/>
      <c r="J86" s="304">
        <f>G86+H86+I86</f>
        <v/>
      </c>
      <c r="K86" s="304">
        <f>J86/E86</f>
        <v/>
      </c>
      <c r="L86" s="304">
        <f>J86/F86</f>
        <v/>
      </c>
      <c r="M86" s="74" t="n"/>
    </row>
    <row r="87" hidden="1" ht="15" customHeight="1" s="272">
      <c r="A87" s="287" t="n"/>
      <c r="B87" s="287" t="n"/>
      <c r="C87" s="287" t="n"/>
      <c r="D87" s="208" t="inlineStr">
        <is>
          <t>1月</t>
        </is>
      </c>
      <c r="E87" s="360" t="n"/>
      <c r="F87" s="361" t="n"/>
      <c r="G87" s="362" t="n"/>
      <c r="H87" s="363" t="n"/>
      <c r="I87" s="364" t="n"/>
      <c r="J87" s="304">
        <f>G87+H87+I87</f>
        <v/>
      </c>
      <c r="K87" s="304">
        <f>J87/E87</f>
        <v/>
      </c>
      <c r="L87" s="304">
        <f>J87/F87</f>
        <v/>
      </c>
      <c r="M87" s="74" t="n"/>
    </row>
    <row r="88" hidden="1" ht="15" customHeight="1" s="272">
      <c r="A88" s="287" t="n"/>
      <c r="B88" s="287" t="n"/>
      <c r="C88" s="287" t="n"/>
      <c r="D88" s="208" t="inlineStr">
        <is>
          <t>2月</t>
        </is>
      </c>
      <c r="E88" s="360" t="n"/>
      <c r="F88" s="361" t="n"/>
      <c r="G88" s="362" t="n"/>
      <c r="H88" s="363" t="n"/>
      <c r="I88" s="364" t="n"/>
      <c r="J88" s="304">
        <f>G88+H88+I88</f>
        <v/>
      </c>
      <c r="K88" s="304">
        <f>J88/E88</f>
        <v/>
      </c>
      <c r="L88" s="304">
        <f>J88/F88</f>
        <v/>
      </c>
      <c r="M88" s="74" t="n"/>
    </row>
    <row r="89" hidden="1" ht="15" customHeight="1" s="272">
      <c r="A89" s="290" t="n"/>
      <c r="B89" s="290" t="n"/>
      <c r="C89" s="290" t="n"/>
      <c r="D89" s="211" t="inlineStr">
        <is>
          <t>3月</t>
        </is>
      </c>
      <c r="E89" s="365" t="n"/>
      <c r="F89" s="366" t="n"/>
      <c r="G89" s="367" t="n"/>
      <c r="H89" s="368" t="n"/>
      <c r="I89" s="369" t="n"/>
      <c r="J89" s="311">
        <f>G89+H89+I89</f>
        <v/>
      </c>
      <c r="K89" s="311">
        <f>J89/E89</f>
        <v/>
      </c>
      <c r="L89" s="311">
        <f>J89/F89</f>
        <v/>
      </c>
      <c r="M89" s="75" t="n"/>
    </row>
    <row r="90" hidden="1" ht="15" customHeight="1" s="272">
      <c r="A90" s="291" t="n">
        <v>8</v>
      </c>
      <c r="B90" s="84" t="n"/>
      <c r="C90" s="84" t="n"/>
      <c r="D90" s="205" t="inlineStr">
        <is>
          <t>4月</t>
        </is>
      </c>
      <c r="E90" s="355" t="n"/>
      <c r="F90" s="356" t="n"/>
      <c r="G90" s="357" t="n"/>
      <c r="H90" s="358" t="n"/>
      <c r="I90" s="359" t="n"/>
      <c r="J90" s="297">
        <f>G90+H90+I90</f>
        <v/>
      </c>
      <c r="K90" s="297">
        <f>J90/E90</f>
        <v/>
      </c>
      <c r="L90" s="297">
        <f>J90/F90</f>
        <v/>
      </c>
      <c r="M90" s="73" t="n"/>
    </row>
    <row r="91" hidden="1" ht="15" customHeight="1" s="272">
      <c r="A91" s="287" t="n"/>
      <c r="B91" s="287" t="n"/>
      <c r="C91" s="287" t="n"/>
      <c r="D91" s="208" t="inlineStr">
        <is>
          <t>5月</t>
        </is>
      </c>
      <c r="E91" s="360" t="n"/>
      <c r="F91" s="361" t="n"/>
      <c r="G91" s="362" t="n"/>
      <c r="H91" s="363" t="n"/>
      <c r="I91" s="364" t="n"/>
      <c r="J91" s="304">
        <f>G91+H91+I91</f>
        <v/>
      </c>
      <c r="K91" s="304">
        <f>J91/E91</f>
        <v/>
      </c>
      <c r="L91" s="304">
        <f>J91/F91</f>
        <v/>
      </c>
      <c r="M91" s="74" t="n"/>
    </row>
    <row r="92" hidden="1" ht="15" customHeight="1" s="272">
      <c r="A92" s="287" t="n"/>
      <c r="B92" s="287" t="n"/>
      <c r="C92" s="287" t="n"/>
      <c r="D92" s="208" t="inlineStr">
        <is>
          <t>6月</t>
        </is>
      </c>
      <c r="E92" s="360" t="n"/>
      <c r="F92" s="361" t="n"/>
      <c r="G92" s="362" t="n"/>
      <c r="H92" s="363" t="n"/>
      <c r="I92" s="364" t="n"/>
      <c r="J92" s="304">
        <f>G92+H92+I92</f>
        <v/>
      </c>
      <c r="K92" s="304">
        <f>J92/E92</f>
        <v/>
      </c>
      <c r="L92" s="304">
        <f>J92/F92</f>
        <v/>
      </c>
      <c r="M92" s="74" t="n"/>
    </row>
    <row r="93" hidden="1" ht="15" customHeight="1" s="272">
      <c r="A93" s="287" t="n"/>
      <c r="B93" s="287" t="n"/>
      <c r="C93" s="287" t="n"/>
      <c r="D93" s="208" t="inlineStr">
        <is>
          <t>7月</t>
        </is>
      </c>
      <c r="E93" s="360" t="n"/>
      <c r="F93" s="361" t="n"/>
      <c r="G93" s="362" t="n"/>
      <c r="H93" s="363" t="n"/>
      <c r="I93" s="364" t="n"/>
      <c r="J93" s="304">
        <f>G93+H93+I93</f>
        <v/>
      </c>
      <c r="K93" s="304">
        <f>J93/E93</f>
        <v/>
      </c>
      <c r="L93" s="304">
        <f>J93/F93</f>
        <v/>
      </c>
      <c r="M93" s="74" t="n"/>
    </row>
    <row r="94" hidden="1" ht="15" customHeight="1" s="272">
      <c r="A94" s="287" t="n"/>
      <c r="B94" s="287" t="n"/>
      <c r="C94" s="287" t="n"/>
      <c r="D94" s="208" t="inlineStr">
        <is>
          <t>8月</t>
        </is>
      </c>
      <c r="E94" s="360" t="n"/>
      <c r="F94" s="361" t="n"/>
      <c r="G94" s="362" t="n"/>
      <c r="H94" s="363" t="n"/>
      <c r="I94" s="364" t="n"/>
      <c r="J94" s="304">
        <f>G94+H94+I94</f>
        <v/>
      </c>
      <c r="K94" s="304">
        <f>J94/E94</f>
        <v/>
      </c>
      <c r="L94" s="304">
        <f>J94/F94</f>
        <v/>
      </c>
      <c r="M94" s="74" t="n"/>
    </row>
    <row r="95" hidden="1" ht="15" customHeight="1" s="272">
      <c r="A95" s="287" t="n"/>
      <c r="B95" s="287" t="n"/>
      <c r="C95" s="287" t="n"/>
      <c r="D95" s="208" t="inlineStr">
        <is>
          <t>9月</t>
        </is>
      </c>
      <c r="E95" s="360" t="n"/>
      <c r="F95" s="361" t="n"/>
      <c r="G95" s="362" t="n"/>
      <c r="H95" s="363" t="n"/>
      <c r="I95" s="364" t="n"/>
      <c r="J95" s="304">
        <f>G95+H95+I95</f>
        <v/>
      </c>
      <c r="K95" s="304">
        <f>J95/E95</f>
        <v/>
      </c>
      <c r="L95" s="304">
        <f>J95/F95</f>
        <v/>
      </c>
      <c r="M95" s="74" t="n"/>
    </row>
    <row r="96" hidden="1" ht="15" customHeight="1" s="272">
      <c r="A96" s="287" t="n"/>
      <c r="B96" s="287" t="n"/>
      <c r="C96" s="287" t="n"/>
      <c r="D96" s="208" t="inlineStr">
        <is>
          <t>10月</t>
        </is>
      </c>
      <c r="E96" s="360" t="n"/>
      <c r="F96" s="361" t="n"/>
      <c r="G96" s="362" t="n"/>
      <c r="H96" s="363" t="n"/>
      <c r="I96" s="364" t="n"/>
      <c r="J96" s="304">
        <f>G96+H96+I96</f>
        <v/>
      </c>
      <c r="K96" s="304">
        <f>J96/E96</f>
        <v/>
      </c>
      <c r="L96" s="304">
        <f>J96/F96</f>
        <v/>
      </c>
      <c r="M96" s="74" t="n"/>
    </row>
    <row r="97" hidden="1" ht="15" customHeight="1" s="272">
      <c r="A97" s="287" t="n"/>
      <c r="B97" s="287" t="n"/>
      <c r="C97" s="287" t="n"/>
      <c r="D97" s="208" t="inlineStr">
        <is>
          <t>11月</t>
        </is>
      </c>
      <c r="E97" s="360" t="n"/>
      <c r="F97" s="361" t="n"/>
      <c r="G97" s="362" t="n"/>
      <c r="H97" s="363" t="n"/>
      <c r="I97" s="364" t="n"/>
      <c r="J97" s="304">
        <f>G97+H97+I97</f>
        <v/>
      </c>
      <c r="K97" s="304">
        <f>J97/E97</f>
        <v/>
      </c>
      <c r="L97" s="304">
        <f>J97/F97</f>
        <v/>
      </c>
      <c r="M97" s="74" t="n"/>
    </row>
    <row r="98" hidden="1" ht="15" customHeight="1" s="272">
      <c r="A98" s="287" t="n"/>
      <c r="B98" s="287" t="n"/>
      <c r="C98" s="287" t="n"/>
      <c r="D98" s="208" t="inlineStr">
        <is>
          <t>12月</t>
        </is>
      </c>
      <c r="E98" s="360" t="n"/>
      <c r="F98" s="361" t="n"/>
      <c r="G98" s="362" t="n"/>
      <c r="H98" s="363" t="n"/>
      <c r="I98" s="364" t="n"/>
      <c r="J98" s="304">
        <f>G98+H98+I98</f>
        <v/>
      </c>
      <c r="K98" s="304">
        <f>J98/E98</f>
        <v/>
      </c>
      <c r="L98" s="304">
        <f>J98/F98</f>
        <v/>
      </c>
      <c r="M98" s="74" t="n"/>
    </row>
    <row r="99" hidden="1" ht="15" customHeight="1" s="272">
      <c r="A99" s="287" t="n"/>
      <c r="B99" s="287" t="n"/>
      <c r="C99" s="287" t="n"/>
      <c r="D99" s="208" t="inlineStr">
        <is>
          <t>1月</t>
        </is>
      </c>
      <c r="E99" s="360" t="n"/>
      <c r="F99" s="361" t="n"/>
      <c r="G99" s="362" t="n"/>
      <c r="H99" s="363" t="n"/>
      <c r="I99" s="364" t="n"/>
      <c r="J99" s="304">
        <f>G99+H99+I99</f>
        <v/>
      </c>
      <c r="K99" s="304">
        <f>J99/E99</f>
        <v/>
      </c>
      <c r="L99" s="304">
        <f>J99/F99</f>
        <v/>
      </c>
      <c r="M99" s="74" t="n"/>
    </row>
    <row r="100" hidden="1" ht="15" customHeight="1" s="272">
      <c r="A100" s="287" t="n"/>
      <c r="B100" s="287" t="n"/>
      <c r="C100" s="287" t="n"/>
      <c r="D100" s="208" t="inlineStr">
        <is>
          <t>2月</t>
        </is>
      </c>
      <c r="E100" s="360" t="n"/>
      <c r="F100" s="361" t="n"/>
      <c r="G100" s="362" t="n"/>
      <c r="H100" s="363" t="n"/>
      <c r="I100" s="364" t="n"/>
      <c r="J100" s="304">
        <f>G100+H100+I100</f>
        <v/>
      </c>
      <c r="K100" s="304">
        <f>J100/E100</f>
        <v/>
      </c>
      <c r="L100" s="304">
        <f>J100/F100</f>
        <v/>
      </c>
      <c r="M100" s="74" t="n"/>
    </row>
    <row r="101" hidden="1" ht="15" customHeight="1" s="272">
      <c r="A101" s="290" t="n"/>
      <c r="B101" s="290" t="n"/>
      <c r="C101" s="290" t="n"/>
      <c r="D101" s="211" t="inlineStr">
        <is>
          <t>3月</t>
        </is>
      </c>
      <c r="E101" s="365" t="n"/>
      <c r="F101" s="366" t="n"/>
      <c r="G101" s="367" t="n"/>
      <c r="H101" s="368" t="n"/>
      <c r="I101" s="369" t="n"/>
      <c r="J101" s="311">
        <f>G101+H101+I101</f>
        <v/>
      </c>
      <c r="K101" s="311">
        <f>J101/E101</f>
        <v/>
      </c>
      <c r="L101" s="311">
        <f>J101/F101</f>
        <v/>
      </c>
      <c r="M101" s="75" t="n"/>
    </row>
    <row r="102" hidden="1" ht="15" customHeight="1" s="272">
      <c r="A102" s="291" t="n">
        <v>9</v>
      </c>
      <c r="B102" s="84" t="n"/>
      <c r="C102" s="84" t="n"/>
      <c r="D102" s="205" t="inlineStr">
        <is>
          <t>4月</t>
        </is>
      </c>
      <c r="E102" s="355" t="n"/>
      <c r="F102" s="356" t="n"/>
      <c r="G102" s="357" t="n"/>
      <c r="H102" s="358" t="n"/>
      <c r="I102" s="359" t="n"/>
      <c r="J102" s="297">
        <f>G102+H102+I102</f>
        <v/>
      </c>
      <c r="K102" s="297">
        <f>J102/E102</f>
        <v/>
      </c>
      <c r="L102" s="297">
        <f>J102/F102</f>
        <v/>
      </c>
      <c r="M102" s="73" t="n"/>
    </row>
    <row r="103" hidden="1" ht="15" customHeight="1" s="272">
      <c r="A103" s="287" t="n"/>
      <c r="B103" s="287" t="n"/>
      <c r="C103" s="287" t="n"/>
      <c r="D103" s="208" t="inlineStr">
        <is>
          <t>5月</t>
        </is>
      </c>
      <c r="E103" s="360" t="n"/>
      <c r="F103" s="361" t="n"/>
      <c r="G103" s="362" t="n"/>
      <c r="H103" s="363" t="n"/>
      <c r="I103" s="364" t="n"/>
      <c r="J103" s="304">
        <f>G103+H103+I103</f>
        <v/>
      </c>
      <c r="K103" s="304">
        <f>J103/E103</f>
        <v/>
      </c>
      <c r="L103" s="304">
        <f>J103/F103</f>
        <v/>
      </c>
      <c r="M103" s="74" t="n"/>
    </row>
    <row r="104" hidden="1" ht="15" customHeight="1" s="272">
      <c r="A104" s="287" t="n"/>
      <c r="B104" s="287" t="n"/>
      <c r="C104" s="287" t="n"/>
      <c r="D104" s="208" t="inlineStr">
        <is>
          <t>6月</t>
        </is>
      </c>
      <c r="E104" s="360" t="n"/>
      <c r="F104" s="361" t="n"/>
      <c r="G104" s="362" t="n"/>
      <c r="H104" s="363" t="n"/>
      <c r="I104" s="364" t="n"/>
      <c r="J104" s="304">
        <f>G104+H104+I104</f>
        <v/>
      </c>
      <c r="K104" s="304">
        <f>J104/E104</f>
        <v/>
      </c>
      <c r="L104" s="304">
        <f>J104/F104</f>
        <v/>
      </c>
      <c r="M104" s="74" t="n"/>
    </row>
    <row r="105" hidden="1" ht="15" customHeight="1" s="272">
      <c r="A105" s="287" t="n"/>
      <c r="B105" s="287" t="n"/>
      <c r="C105" s="287" t="n"/>
      <c r="D105" s="208" t="inlineStr">
        <is>
          <t>7月</t>
        </is>
      </c>
      <c r="E105" s="360" t="n"/>
      <c r="F105" s="361" t="n"/>
      <c r="G105" s="362" t="n"/>
      <c r="H105" s="363" t="n"/>
      <c r="I105" s="364" t="n"/>
      <c r="J105" s="304">
        <f>G105+H105+I105</f>
        <v/>
      </c>
      <c r="K105" s="304">
        <f>J105/E105</f>
        <v/>
      </c>
      <c r="L105" s="304">
        <f>J105/F105</f>
        <v/>
      </c>
      <c r="M105" s="74" t="n"/>
    </row>
    <row r="106" hidden="1" ht="15" customHeight="1" s="272">
      <c r="A106" s="287" t="n"/>
      <c r="B106" s="287" t="n"/>
      <c r="C106" s="287" t="n"/>
      <c r="D106" s="208" t="inlineStr">
        <is>
          <t>8月</t>
        </is>
      </c>
      <c r="E106" s="360" t="n"/>
      <c r="F106" s="361" t="n"/>
      <c r="G106" s="362" t="n"/>
      <c r="H106" s="363" t="n"/>
      <c r="I106" s="364" t="n"/>
      <c r="J106" s="304">
        <f>G106+H106+I106</f>
        <v/>
      </c>
      <c r="K106" s="304">
        <f>J106/E106</f>
        <v/>
      </c>
      <c r="L106" s="304">
        <f>J106/F106</f>
        <v/>
      </c>
      <c r="M106" s="74" t="n"/>
    </row>
    <row r="107" hidden="1" ht="15" customHeight="1" s="272">
      <c r="A107" s="287" t="n"/>
      <c r="B107" s="287" t="n"/>
      <c r="C107" s="287" t="n"/>
      <c r="D107" s="208" t="inlineStr">
        <is>
          <t>9月</t>
        </is>
      </c>
      <c r="E107" s="360" t="n"/>
      <c r="F107" s="361" t="n"/>
      <c r="G107" s="362" t="n"/>
      <c r="H107" s="363" t="n"/>
      <c r="I107" s="364" t="n"/>
      <c r="J107" s="304">
        <f>G107+H107+I107</f>
        <v/>
      </c>
      <c r="K107" s="304">
        <f>J107/E107</f>
        <v/>
      </c>
      <c r="L107" s="304">
        <f>J107/F107</f>
        <v/>
      </c>
      <c r="M107" s="74" t="n"/>
    </row>
    <row r="108" hidden="1" ht="15" customHeight="1" s="272">
      <c r="A108" s="287" t="n"/>
      <c r="B108" s="287" t="n"/>
      <c r="C108" s="287" t="n"/>
      <c r="D108" s="208" t="inlineStr">
        <is>
          <t>10月</t>
        </is>
      </c>
      <c r="E108" s="360" t="n"/>
      <c r="F108" s="361" t="n"/>
      <c r="G108" s="362" t="n"/>
      <c r="H108" s="363" t="n"/>
      <c r="I108" s="364" t="n"/>
      <c r="J108" s="304">
        <f>G108+H108+I108</f>
        <v/>
      </c>
      <c r="K108" s="304">
        <f>J108/E108</f>
        <v/>
      </c>
      <c r="L108" s="304">
        <f>J108/F108</f>
        <v/>
      </c>
      <c r="M108" s="74" t="n"/>
    </row>
    <row r="109" hidden="1" ht="15" customHeight="1" s="272">
      <c r="A109" s="287" t="n"/>
      <c r="B109" s="287" t="n"/>
      <c r="C109" s="287" t="n"/>
      <c r="D109" s="208" t="inlineStr">
        <is>
          <t>11月</t>
        </is>
      </c>
      <c r="E109" s="360" t="n"/>
      <c r="F109" s="361" t="n"/>
      <c r="G109" s="362" t="n"/>
      <c r="H109" s="363" t="n"/>
      <c r="I109" s="364" t="n"/>
      <c r="J109" s="304">
        <f>G109+H109+I109</f>
        <v/>
      </c>
      <c r="K109" s="304">
        <f>J109/E109</f>
        <v/>
      </c>
      <c r="L109" s="304">
        <f>J109/F109</f>
        <v/>
      </c>
      <c r="M109" s="74" t="n"/>
    </row>
    <row r="110" hidden="1" ht="15" customHeight="1" s="272">
      <c r="A110" s="287" t="n"/>
      <c r="B110" s="287" t="n"/>
      <c r="C110" s="287" t="n"/>
      <c r="D110" s="208" t="inlineStr">
        <is>
          <t>12月</t>
        </is>
      </c>
      <c r="E110" s="360" t="n"/>
      <c r="F110" s="361" t="n"/>
      <c r="G110" s="362" t="n"/>
      <c r="H110" s="363" t="n"/>
      <c r="I110" s="364" t="n"/>
      <c r="J110" s="304">
        <f>G110+H110+I110</f>
        <v/>
      </c>
      <c r="K110" s="304">
        <f>J110/E110</f>
        <v/>
      </c>
      <c r="L110" s="304">
        <f>J110/F110</f>
        <v/>
      </c>
      <c r="M110" s="74" t="n"/>
    </row>
    <row r="111" hidden="1" ht="15" customHeight="1" s="272">
      <c r="A111" s="287" t="n"/>
      <c r="B111" s="287" t="n"/>
      <c r="C111" s="287" t="n"/>
      <c r="D111" s="208" t="inlineStr">
        <is>
          <t>1月</t>
        </is>
      </c>
      <c r="E111" s="360" t="n"/>
      <c r="F111" s="361" t="n"/>
      <c r="G111" s="362" t="n"/>
      <c r="H111" s="363" t="n"/>
      <c r="I111" s="364" t="n"/>
      <c r="J111" s="304">
        <f>G111+H111+I111</f>
        <v/>
      </c>
      <c r="K111" s="304">
        <f>J111/E111</f>
        <v/>
      </c>
      <c r="L111" s="304">
        <f>J111/F111</f>
        <v/>
      </c>
      <c r="M111" s="74" t="n"/>
    </row>
    <row r="112" hidden="1" ht="15" customHeight="1" s="272">
      <c r="A112" s="287" t="n"/>
      <c r="B112" s="287" t="n"/>
      <c r="C112" s="287" t="n"/>
      <c r="D112" s="208" t="inlineStr">
        <is>
          <t>2月</t>
        </is>
      </c>
      <c r="E112" s="360" t="n"/>
      <c r="F112" s="361" t="n"/>
      <c r="G112" s="362" t="n"/>
      <c r="H112" s="363" t="n"/>
      <c r="I112" s="364" t="n"/>
      <c r="J112" s="304">
        <f>G112+H112+I112</f>
        <v/>
      </c>
      <c r="K112" s="304">
        <f>J112/E112</f>
        <v/>
      </c>
      <c r="L112" s="304">
        <f>J112/F112</f>
        <v/>
      </c>
      <c r="M112" s="74" t="n"/>
    </row>
    <row r="113" hidden="1" ht="15" customHeight="1" s="272">
      <c r="A113" s="290" t="n"/>
      <c r="B113" s="290" t="n"/>
      <c r="C113" s="290" t="n"/>
      <c r="D113" s="211" t="inlineStr">
        <is>
          <t>3月</t>
        </is>
      </c>
      <c r="E113" s="365" t="n"/>
      <c r="F113" s="366" t="n"/>
      <c r="G113" s="367" t="n"/>
      <c r="H113" s="368" t="n"/>
      <c r="I113" s="369" t="n"/>
      <c r="J113" s="311">
        <f>G113+H113+I113</f>
        <v/>
      </c>
      <c r="K113" s="311">
        <f>J113/E113</f>
        <v/>
      </c>
      <c r="L113" s="311">
        <f>J113/F113</f>
        <v/>
      </c>
      <c r="M113" s="75" t="n"/>
    </row>
    <row r="114" hidden="1" ht="15" customHeight="1" s="272">
      <c r="A114" s="291" t="n">
        <v>10</v>
      </c>
      <c r="B114" s="84" t="n"/>
      <c r="C114" s="84" t="n"/>
      <c r="D114" s="205" t="inlineStr">
        <is>
          <t>4月</t>
        </is>
      </c>
      <c r="E114" s="355" t="n"/>
      <c r="F114" s="356" t="n"/>
      <c r="G114" s="357" t="n"/>
      <c r="H114" s="358" t="n"/>
      <c r="I114" s="359" t="n"/>
      <c r="J114" s="297">
        <f>G114+H114+I114</f>
        <v/>
      </c>
      <c r="K114" s="297">
        <f>J114/E114</f>
        <v/>
      </c>
      <c r="L114" s="297">
        <f>J114/F114</f>
        <v/>
      </c>
      <c r="M114" s="73" t="n"/>
    </row>
    <row r="115" hidden="1" ht="15" customHeight="1" s="272">
      <c r="A115" s="287" t="n"/>
      <c r="B115" s="287" t="n"/>
      <c r="C115" s="287" t="n"/>
      <c r="D115" s="208" t="inlineStr">
        <is>
          <t>5月</t>
        </is>
      </c>
      <c r="E115" s="360" t="n"/>
      <c r="F115" s="361" t="n"/>
      <c r="G115" s="362" t="n"/>
      <c r="H115" s="363" t="n"/>
      <c r="I115" s="364" t="n"/>
      <c r="J115" s="304">
        <f>G115+H115+I115</f>
        <v/>
      </c>
      <c r="K115" s="304">
        <f>J115/E115</f>
        <v/>
      </c>
      <c r="L115" s="304">
        <f>J115/F115</f>
        <v/>
      </c>
      <c r="M115" s="74" t="n"/>
    </row>
    <row r="116" hidden="1" ht="15" customHeight="1" s="272">
      <c r="A116" s="287" t="n"/>
      <c r="B116" s="287" t="n"/>
      <c r="C116" s="287" t="n"/>
      <c r="D116" s="208" t="inlineStr">
        <is>
          <t>6月</t>
        </is>
      </c>
      <c r="E116" s="360" t="n"/>
      <c r="F116" s="361" t="n"/>
      <c r="G116" s="362" t="n"/>
      <c r="H116" s="363" t="n"/>
      <c r="I116" s="364" t="n"/>
      <c r="J116" s="304">
        <f>G116+H116+I116</f>
        <v/>
      </c>
      <c r="K116" s="304">
        <f>J116/E116</f>
        <v/>
      </c>
      <c r="L116" s="304">
        <f>J116/F116</f>
        <v/>
      </c>
      <c r="M116" s="74" t="n"/>
    </row>
    <row r="117" hidden="1" ht="15" customHeight="1" s="272">
      <c r="A117" s="287" t="n"/>
      <c r="B117" s="287" t="n"/>
      <c r="C117" s="287" t="n"/>
      <c r="D117" s="208" t="inlineStr">
        <is>
          <t>7月</t>
        </is>
      </c>
      <c r="E117" s="360" t="n"/>
      <c r="F117" s="361" t="n"/>
      <c r="G117" s="362" t="n"/>
      <c r="H117" s="363" t="n"/>
      <c r="I117" s="364" t="n"/>
      <c r="J117" s="304">
        <f>G117+H117+I117</f>
        <v/>
      </c>
      <c r="K117" s="304">
        <f>J117/E117</f>
        <v/>
      </c>
      <c r="L117" s="304">
        <f>J117/F117</f>
        <v/>
      </c>
      <c r="M117" s="74" t="n"/>
    </row>
    <row r="118" hidden="1" ht="15" customHeight="1" s="272">
      <c r="A118" s="287" t="n"/>
      <c r="B118" s="287" t="n"/>
      <c r="C118" s="287" t="n"/>
      <c r="D118" s="208" t="inlineStr">
        <is>
          <t>8月</t>
        </is>
      </c>
      <c r="E118" s="360" t="n"/>
      <c r="F118" s="361" t="n"/>
      <c r="G118" s="362" t="n"/>
      <c r="H118" s="363" t="n"/>
      <c r="I118" s="364" t="n"/>
      <c r="J118" s="304">
        <f>G118+H118+I118</f>
        <v/>
      </c>
      <c r="K118" s="304">
        <f>J118/E118</f>
        <v/>
      </c>
      <c r="L118" s="304">
        <f>J118/F118</f>
        <v/>
      </c>
      <c r="M118" s="74" t="n"/>
    </row>
    <row r="119" hidden="1" ht="15" customHeight="1" s="272">
      <c r="A119" s="287" t="n"/>
      <c r="B119" s="287" t="n"/>
      <c r="C119" s="287" t="n"/>
      <c r="D119" s="208" t="inlineStr">
        <is>
          <t>9月</t>
        </is>
      </c>
      <c r="E119" s="360" t="n"/>
      <c r="F119" s="361" t="n"/>
      <c r="G119" s="362" t="n"/>
      <c r="H119" s="363" t="n"/>
      <c r="I119" s="364" t="n"/>
      <c r="J119" s="304">
        <f>G119+H119+I119</f>
        <v/>
      </c>
      <c r="K119" s="304">
        <f>J119/E119</f>
        <v/>
      </c>
      <c r="L119" s="304">
        <f>J119/F119</f>
        <v/>
      </c>
      <c r="M119" s="74" t="n"/>
    </row>
    <row r="120" hidden="1" ht="15" customHeight="1" s="272">
      <c r="A120" s="287" t="n"/>
      <c r="B120" s="287" t="n"/>
      <c r="C120" s="287" t="n"/>
      <c r="D120" s="208" t="inlineStr">
        <is>
          <t>10月</t>
        </is>
      </c>
      <c r="E120" s="360" t="n"/>
      <c r="F120" s="361" t="n"/>
      <c r="G120" s="362" t="n"/>
      <c r="H120" s="363" t="n"/>
      <c r="I120" s="364" t="n"/>
      <c r="J120" s="304">
        <f>G120+H120+I120</f>
        <v/>
      </c>
      <c r="K120" s="304">
        <f>J120/E120</f>
        <v/>
      </c>
      <c r="L120" s="304">
        <f>J120/F120</f>
        <v/>
      </c>
      <c r="M120" s="74" t="n"/>
    </row>
    <row r="121" hidden="1" ht="15" customHeight="1" s="272">
      <c r="A121" s="287" t="n"/>
      <c r="B121" s="287" t="n"/>
      <c r="C121" s="287" t="n"/>
      <c r="D121" s="208" t="inlineStr">
        <is>
          <t>11月</t>
        </is>
      </c>
      <c r="E121" s="360" t="n"/>
      <c r="F121" s="361" t="n"/>
      <c r="G121" s="362" t="n"/>
      <c r="H121" s="363" t="n"/>
      <c r="I121" s="364" t="n"/>
      <c r="J121" s="304">
        <f>G121+H121+I121</f>
        <v/>
      </c>
      <c r="K121" s="304">
        <f>J121/E121</f>
        <v/>
      </c>
      <c r="L121" s="304">
        <f>J121/F121</f>
        <v/>
      </c>
      <c r="M121" s="74" t="n"/>
    </row>
    <row r="122" hidden="1" ht="15" customHeight="1" s="272">
      <c r="A122" s="287" t="n"/>
      <c r="B122" s="287" t="n"/>
      <c r="C122" s="287" t="n"/>
      <c r="D122" s="208" t="inlineStr">
        <is>
          <t>12月</t>
        </is>
      </c>
      <c r="E122" s="360" t="n"/>
      <c r="F122" s="361" t="n"/>
      <c r="G122" s="362" t="n"/>
      <c r="H122" s="363" t="n"/>
      <c r="I122" s="364" t="n"/>
      <c r="J122" s="304">
        <f>G122+H122+I122</f>
        <v/>
      </c>
      <c r="K122" s="304">
        <f>J122/E122</f>
        <v/>
      </c>
      <c r="L122" s="304">
        <f>J122/F122</f>
        <v/>
      </c>
      <c r="M122" s="74" t="n"/>
    </row>
    <row r="123" hidden="1" ht="15" customHeight="1" s="272">
      <c r="A123" s="287" t="n"/>
      <c r="B123" s="287" t="n"/>
      <c r="C123" s="287" t="n"/>
      <c r="D123" s="208" t="inlineStr">
        <is>
          <t>1月</t>
        </is>
      </c>
      <c r="E123" s="360" t="n"/>
      <c r="F123" s="361" t="n"/>
      <c r="G123" s="362" t="n"/>
      <c r="H123" s="363" t="n"/>
      <c r="I123" s="364" t="n"/>
      <c r="J123" s="304">
        <f>G123+H123+I123</f>
        <v/>
      </c>
      <c r="K123" s="304">
        <f>J123/E123</f>
        <v/>
      </c>
      <c r="L123" s="304">
        <f>J123/F123</f>
        <v/>
      </c>
      <c r="M123" s="74" t="n"/>
    </row>
    <row r="124" hidden="1" ht="15" customHeight="1" s="272">
      <c r="A124" s="287" t="n"/>
      <c r="B124" s="287" t="n"/>
      <c r="C124" s="287" t="n"/>
      <c r="D124" s="208" t="inlineStr">
        <is>
          <t>2月</t>
        </is>
      </c>
      <c r="E124" s="360" t="n"/>
      <c r="F124" s="361" t="n"/>
      <c r="G124" s="362" t="n"/>
      <c r="H124" s="363" t="n"/>
      <c r="I124" s="364" t="n"/>
      <c r="J124" s="304">
        <f>G124+H124+I124</f>
        <v/>
      </c>
      <c r="K124" s="304">
        <f>J124/E124</f>
        <v/>
      </c>
      <c r="L124" s="304">
        <f>J124/F124</f>
        <v/>
      </c>
      <c r="M124" s="74" t="n"/>
    </row>
    <row r="125" hidden="1" ht="15" customHeight="1" s="272">
      <c r="A125" s="290" t="n"/>
      <c r="B125" s="290" t="n"/>
      <c r="C125" s="290" t="n"/>
      <c r="D125" s="211" t="inlineStr">
        <is>
          <t>3月</t>
        </is>
      </c>
      <c r="E125" s="365" t="n"/>
      <c r="F125" s="366" t="n"/>
      <c r="G125" s="367" t="n"/>
      <c r="H125" s="368" t="n"/>
      <c r="I125" s="369" t="n"/>
      <c r="J125" s="311">
        <f>G125+H125+I125</f>
        <v/>
      </c>
      <c r="K125" s="311">
        <f>J125/E125</f>
        <v/>
      </c>
      <c r="L125" s="311">
        <f>J125/F125</f>
        <v/>
      </c>
      <c r="M125" s="75" t="n"/>
    </row>
    <row r="126" hidden="1" ht="15" customHeight="1" s="272">
      <c r="A126" s="291" t="n">
        <v>11</v>
      </c>
      <c r="B126" s="84" t="n"/>
      <c r="C126" s="84" t="n"/>
      <c r="D126" s="205" t="inlineStr">
        <is>
          <t>4月</t>
        </is>
      </c>
      <c r="E126" s="355" t="n"/>
      <c r="F126" s="356" t="n"/>
      <c r="G126" s="357" t="n"/>
      <c r="H126" s="358" t="n"/>
      <c r="I126" s="359" t="n"/>
      <c r="J126" s="297">
        <f>G126+H126+I126</f>
        <v/>
      </c>
      <c r="K126" s="297">
        <f>J126/E126</f>
        <v/>
      </c>
      <c r="L126" s="297">
        <f>J126/F126</f>
        <v/>
      </c>
      <c r="M126" s="73" t="n"/>
    </row>
    <row r="127" hidden="1" ht="15" customHeight="1" s="272">
      <c r="A127" s="287" t="n"/>
      <c r="B127" s="287" t="n"/>
      <c r="C127" s="287" t="n"/>
      <c r="D127" s="208" t="inlineStr">
        <is>
          <t>5月</t>
        </is>
      </c>
      <c r="E127" s="360" t="n"/>
      <c r="F127" s="361" t="n"/>
      <c r="G127" s="362" t="n"/>
      <c r="H127" s="363" t="n"/>
      <c r="I127" s="364" t="n"/>
      <c r="J127" s="304">
        <f>G127+H127+I127</f>
        <v/>
      </c>
      <c r="K127" s="304">
        <f>J127/E127</f>
        <v/>
      </c>
      <c r="L127" s="304">
        <f>J127/F127</f>
        <v/>
      </c>
      <c r="M127" s="74" t="n"/>
    </row>
    <row r="128" hidden="1" ht="15" customHeight="1" s="272">
      <c r="A128" s="287" t="n"/>
      <c r="B128" s="287" t="n"/>
      <c r="C128" s="287" t="n"/>
      <c r="D128" s="208" t="inlineStr">
        <is>
          <t>6月</t>
        </is>
      </c>
      <c r="E128" s="360" t="n"/>
      <c r="F128" s="361" t="n"/>
      <c r="G128" s="362" t="n"/>
      <c r="H128" s="363" t="n"/>
      <c r="I128" s="364" t="n"/>
      <c r="J128" s="304">
        <f>G128+H128+I128</f>
        <v/>
      </c>
      <c r="K128" s="304">
        <f>J128/E128</f>
        <v/>
      </c>
      <c r="L128" s="304">
        <f>J128/F128</f>
        <v/>
      </c>
      <c r="M128" s="74" t="n"/>
    </row>
    <row r="129" hidden="1" ht="15" customHeight="1" s="272">
      <c r="A129" s="287" t="n"/>
      <c r="B129" s="287" t="n"/>
      <c r="C129" s="287" t="n"/>
      <c r="D129" s="208" t="inlineStr">
        <is>
          <t>7月</t>
        </is>
      </c>
      <c r="E129" s="360" t="n"/>
      <c r="F129" s="361" t="n"/>
      <c r="G129" s="362" t="n"/>
      <c r="H129" s="363" t="n"/>
      <c r="I129" s="364" t="n"/>
      <c r="J129" s="304">
        <f>G129+H129+I129</f>
        <v/>
      </c>
      <c r="K129" s="304">
        <f>J129/E129</f>
        <v/>
      </c>
      <c r="L129" s="304">
        <f>J129/F129</f>
        <v/>
      </c>
      <c r="M129" s="74" t="n"/>
    </row>
    <row r="130" hidden="1" ht="15" customHeight="1" s="272">
      <c r="A130" s="287" t="n"/>
      <c r="B130" s="287" t="n"/>
      <c r="C130" s="287" t="n"/>
      <c r="D130" s="208" t="inlineStr">
        <is>
          <t>8月</t>
        </is>
      </c>
      <c r="E130" s="360" t="n"/>
      <c r="F130" s="361" t="n"/>
      <c r="G130" s="362" t="n"/>
      <c r="H130" s="363" t="n"/>
      <c r="I130" s="364" t="n"/>
      <c r="J130" s="304">
        <f>G130+H130+I130</f>
        <v/>
      </c>
      <c r="K130" s="304">
        <f>J130/E130</f>
        <v/>
      </c>
      <c r="L130" s="304">
        <f>J130/F130</f>
        <v/>
      </c>
      <c r="M130" s="74" t="n"/>
    </row>
    <row r="131" hidden="1" ht="15" customHeight="1" s="272">
      <c r="A131" s="287" t="n"/>
      <c r="B131" s="287" t="n"/>
      <c r="C131" s="287" t="n"/>
      <c r="D131" s="208" t="inlineStr">
        <is>
          <t>9月</t>
        </is>
      </c>
      <c r="E131" s="360" t="n"/>
      <c r="F131" s="361" t="n"/>
      <c r="G131" s="362" t="n"/>
      <c r="H131" s="363" t="n"/>
      <c r="I131" s="364" t="n"/>
      <c r="J131" s="304">
        <f>G131+H131+I131</f>
        <v/>
      </c>
      <c r="K131" s="304">
        <f>J131/E131</f>
        <v/>
      </c>
      <c r="L131" s="304">
        <f>J131/F131</f>
        <v/>
      </c>
      <c r="M131" s="74" t="n"/>
    </row>
    <row r="132" hidden="1" ht="15" customHeight="1" s="272">
      <c r="A132" s="287" t="n"/>
      <c r="B132" s="287" t="n"/>
      <c r="C132" s="287" t="n"/>
      <c r="D132" s="208" t="inlineStr">
        <is>
          <t>10月</t>
        </is>
      </c>
      <c r="E132" s="360" t="n"/>
      <c r="F132" s="361" t="n"/>
      <c r="G132" s="362" t="n"/>
      <c r="H132" s="363" t="n"/>
      <c r="I132" s="364" t="n"/>
      <c r="J132" s="304">
        <f>G132+H132+I132</f>
        <v/>
      </c>
      <c r="K132" s="304">
        <f>J132/E132</f>
        <v/>
      </c>
      <c r="L132" s="304">
        <f>J132/F132</f>
        <v/>
      </c>
      <c r="M132" s="74" t="n"/>
    </row>
    <row r="133" hidden="1" ht="15" customHeight="1" s="272">
      <c r="A133" s="287" t="n"/>
      <c r="B133" s="287" t="n"/>
      <c r="C133" s="287" t="n"/>
      <c r="D133" s="208" t="inlineStr">
        <is>
          <t>11月</t>
        </is>
      </c>
      <c r="E133" s="360" t="n"/>
      <c r="F133" s="361" t="n"/>
      <c r="G133" s="362" t="n"/>
      <c r="H133" s="363" t="n"/>
      <c r="I133" s="364" t="n"/>
      <c r="J133" s="304">
        <f>G133+H133+I133</f>
        <v/>
      </c>
      <c r="K133" s="304">
        <f>J133/E133</f>
        <v/>
      </c>
      <c r="L133" s="304">
        <f>J133/F133</f>
        <v/>
      </c>
      <c r="M133" s="74" t="n"/>
    </row>
    <row r="134" hidden="1" ht="15" customHeight="1" s="272">
      <c r="A134" s="287" t="n"/>
      <c r="B134" s="287" t="n"/>
      <c r="C134" s="287" t="n"/>
      <c r="D134" s="208" t="inlineStr">
        <is>
          <t>12月</t>
        </is>
      </c>
      <c r="E134" s="360" t="n"/>
      <c r="F134" s="361" t="n"/>
      <c r="G134" s="362" t="n"/>
      <c r="H134" s="363" t="n"/>
      <c r="I134" s="364" t="n"/>
      <c r="J134" s="304">
        <f>G134+H134+I134</f>
        <v/>
      </c>
      <c r="K134" s="304">
        <f>J134/E134</f>
        <v/>
      </c>
      <c r="L134" s="304">
        <f>J134/F134</f>
        <v/>
      </c>
      <c r="M134" s="74" t="n"/>
    </row>
    <row r="135" hidden="1" ht="15" customHeight="1" s="272">
      <c r="A135" s="287" t="n"/>
      <c r="B135" s="287" t="n"/>
      <c r="C135" s="287" t="n"/>
      <c r="D135" s="208" t="inlineStr">
        <is>
          <t>1月</t>
        </is>
      </c>
      <c r="E135" s="360" t="n"/>
      <c r="F135" s="361" t="n"/>
      <c r="G135" s="362" t="n"/>
      <c r="H135" s="363" t="n"/>
      <c r="I135" s="364" t="n"/>
      <c r="J135" s="304">
        <f>G135+H135+I135</f>
        <v/>
      </c>
      <c r="K135" s="304">
        <f>J135/E135</f>
        <v/>
      </c>
      <c r="L135" s="304">
        <f>J135/F135</f>
        <v/>
      </c>
      <c r="M135" s="74" t="n"/>
    </row>
    <row r="136" hidden="1" ht="15" customHeight="1" s="272">
      <c r="A136" s="287" t="n"/>
      <c r="B136" s="287" t="n"/>
      <c r="C136" s="287" t="n"/>
      <c r="D136" s="208" t="inlineStr">
        <is>
          <t>2月</t>
        </is>
      </c>
      <c r="E136" s="360" t="n"/>
      <c r="F136" s="361" t="n"/>
      <c r="G136" s="362" t="n"/>
      <c r="H136" s="363" t="n"/>
      <c r="I136" s="364" t="n"/>
      <c r="J136" s="304">
        <f>G136+H136+I136</f>
        <v/>
      </c>
      <c r="K136" s="304">
        <f>J136/E136</f>
        <v/>
      </c>
      <c r="L136" s="304">
        <f>J136/F136</f>
        <v/>
      </c>
      <c r="M136" s="74" t="n"/>
    </row>
    <row r="137" hidden="1" ht="15" customHeight="1" s="272">
      <c r="A137" s="290" t="n"/>
      <c r="B137" s="290" t="n"/>
      <c r="C137" s="290" t="n"/>
      <c r="D137" s="211" t="inlineStr">
        <is>
          <t>3月</t>
        </is>
      </c>
      <c r="E137" s="365" t="n"/>
      <c r="F137" s="366" t="n"/>
      <c r="G137" s="367" t="n"/>
      <c r="H137" s="368" t="n"/>
      <c r="I137" s="369" t="n"/>
      <c r="J137" s="311">
        <f>G137+H137+I137</f>
        <v/>
      </c>
      <c r="K137" s="311">
        <f>J137/E137</f>
        <v/>
      </c>
      <c r="L137" s="311">
        <f>J137/F137</f>
        <v/>
      </c>
      <c r="M137" s="75" t="n"/>
    </row>
    <row r="138" hidden="1" ht="15" customHeight="1" s="272">
      <c r="A138" s="291" t="n">
        <v>12</v>
      </c>
      <c r="B138" s="84" t="n"/>
      <c r="C138" s="84" t="n"/>
      <c r="D138" s="205" t="inlineStr">
        <is>
          <t>4月</t>
        </is>
      </c>
      <c r="E138" s="355" t="n"/>
      <c r="F138" s="356" t="n"/>
      <c r="G138" s="357" t="n"/>
      <c r="H138" s="358" t="n"/>
      <c r="I138" s="359" t="n"/>
      <c r="J138" s="297">
        <f>G138+H138+I138</f>
        <v/>
      </c>
      <c r="K138" s="297">
        <f>J138/E138</f>
        <v/>
      </c>
      <c r="L138" s="297">
        <f>J138/F138</f>
        <v/>
      </c>
      <c r="M138" s="73" t="n"/>
    </row>
    <row r="139" hidden="1" ht="15" customHeight="1" s="272">
      <c r="A139" s="287" t="n"/>
      <c r="B139" s="287" t="n"/>
      <c r="C139" s="287" t="n"/>
      <c r="D139" s="208" t="inlineStr">
        <is>
          <t>5月</t>
        </is>
      </c>
      <c r="E139" s="360" t="n"/>
      <c r="F139" s="361" t="n"/>
      <c r="G139" s="362" t="n"/>
      <c r="H139" s="363" t="n"/>
      <c r="I139" s="364" t="n"/>
      <c r="J139" s="304">
        <f>G139+H139+I139</f>
        <v/>
      </c>
      <c r="K139" s="304">
        <f>J139/E139</f>
        <v/>
      </c>
      <c r="L139" s="304">
        <f>J139/F139</f>
        <v/>
      </c>
      <c r="M139" s="74" t="n"/>
    </row>
    <row r="140" hidden="1" ht="15" customHeight="1" s="272">
      <c r="A140" s="287" t="n"/>
      <c r="B140" s="287" t="n"/>
      <c r="C140" s="287" t="n"/>
      <c r="D140" s="208" t="inlineStr">
        <is>
          <t>6月</t>
        </is>
      </c>
      <c r="E140" s="360" t="n"/>
      <c r="F140" s="361" t="n"/>
      <c r="G140" s="362" t="n"/>
      <c r="H140" s="363" t="n"/>
      <c r="I140" s="364" t="n"/>
      <c r="J140" s="304">
        <f>G140+H140+I140</f>
        <v/>
      </c>
      <c r="K140" s="304">
        <f>J140/E140</f>
        <v/>
      </c>
      <c r="L140" s="304">
        <f>J140/F140</f>
        <v/>
      </c>
      <c r="M140" s="74" t="n"/>
    </row>
    <row r="141" hidden="1" ht="15" customHeight="1" s="272">
      <c r="A141" s="287" t="n"/>
      <c r="B141" s="287" t="n"/>
      <c r="C141" s="287" t="n"/>
      <c r="D141" s="208" t="inlineStr">
        <is>
          <t>7月</t>
        </is>
      </c>
      <c r="E141" s="360" t="n"/>
      <c r="F141" s="361" t="n"/>
      <c r="G141" s="362" t="n"/>
      <c r="H141" s="363" t="n"/>
      <c r="I141" s="364" t="n"/>
      <c r="J141" s="304">
        <f>G141+H141+I141</f>
        <v/>
      </c>
      <c r="K141" s="304">
        <f>J141/E141</f>
        <v/>
      </c>
      <c r="L141" s="304">
        <f>J141/F141</f>
        <v/>
      </c>
      <c r="M141" s="74" t="n"/>
    </row>
    <row r="142" hidden="1" ht="15" customHeight="1" s="272">
      <c r="A142" s="287" t="n"/>
      <c r="B142" s="287" t="n"/>
      <c r="C142" s="287" t="n"/>
      <c r="D142" s="208" t="inlineStr">
        <is>
          <t>8月</t>
        </is>
      </c>
      <c r="E142" s="360" t="n"/>
      <c r="F142" s="361" t="n"/>
      <c r="G142" s="362" t="n"/>
      <c r="H142" s="363" t="n"/>
      <c r="I142" s="364" t="n"/>
      <c r="J142" s="304">
        <f>G142+H142+I142</f>
        <v/>
      </c>
      <c r="K142" s="304">
        <f>J142/E142</f>
        <v/>
      </c>
      <c r="L142" s="304">
        <f>J142/F142</f>
        <v/>
      </c>
      <c r="M142" s="74" t="n"/>
    </row>
    <row r="143" hidden="1" ht="15" customHeight="1" s="272">
      <c r="A143" s="287" t="n"/>
      <c r="B143" s="287" t="n"/>
      <c r="C143" s="287" t="n"/>
      <c r="D143" s="208" t="inlineStr">
        <is>
          <t>9月</t>
        </is>
      </c>
      <c r="E143" s="360" t="n"/>
      <c r="F143" s="361" t="n"/>
      <c r="G143" s="362" t="n"/>
      <c r="H143" s="363" t="n"/>
      <c r="I143" s="364" t="n"/>
      <c r="J143" s="304">
        <f>G143+H143+I143</f>
        <v/>
      </c>
      <c r="K143" s="304">
        <f>J143/E143</f>
        <v/>
      </c>
      <c r="L143" s="304">
        <f>J143/F143</f>
        <v/>
      </c>
      <c r="M143" s="74" t="n"/>
    </row>
    <row r="144" hidden="1" ht="15" customHeight="1" s="272">
      <c r="A144" s="287" t="n"/>
      <c r="B144" s="287" t="n"/>
      <c r="C144" s="287" t="n"/>
      <c r="D144" s="208" t="inlineStr">
        <is>
          <t>10月</t>
        </is>
      </c>
      <c r="E144" s="360" t="n"/>
      <c r="F144" s="361" t="n"/>
      <c r="G144" s="362" t="n"/>
      <c r="H144" s="363" t="n"/>
      <c r="I144" s="364" t="n"/>
      <c r="J144" s="304">
        <f>G144+H144+I144</f>
        <v/>
      </c>
      <c r="K144" s="304">
        <f>J144/E144</f>
        <v/>
      </c>
      <c r="L144" s="304">
        <f>J144/F144</f>
        <v/>
      </c>
      <c r="M144" s="74" t="n"/>
    </row>
    <row r="145" hidden="1" ht="15" customHeight="1" s="272">
      <c r="A145" s="287" t="n"/>
      <c r="B145" s="287" t="n"/>
      <c r="C145" s="287" t="n"/>
      <c r="D145" s="208" t="inlineStr">
        <is>
          <t>11月</t>
        </is>
      </c>
      <c r="E145" s="360" t="n"/>
      <c r="F145" s="361" t="n"/>
      <c r="G145" s="362" t="n"/>
      <c r="H145" s="363" t="n"/>
      <c r="I145" s="364" t="n"/>
      <c r="J145" s="304">
        <f>G145+H145+I145</f>
        <v/>
      </c>
      <c r="K145" s="304">
        <f>J145/E145</f>
        <v/>
      </c>
      <c r="L145" s="304">
        <f>J145/F145</f>
        <v/>
      </c>
      <c r="M145" s="74" t="n"/>
    </row>
    <row r="146" hidden="1" ht="15" customHeight="1" s="272">
      <c r="A146" s="287" t="n"/>
      <c r="B146" s="287" t="n"/>
      <c r="C146" s="287" t="n"/>
      <c r="D146" s="208" t="inlineStr">
        <is>
          <t>12月</t>
        </is>
      </c>
      <c r="E146" s="360" t="n"/>
      <c r="F146" s="361" t="n"/>
      <c r="G146" s="362" t="n"/>
      <c r="H146" s="363" t="n"/>
      <c r="I146" s="364" t="n"/>
      <c r="J146" s="304">
        <f>G146+H146+I146</f>
        <v/>
      </c>
      <c r="K146" s="304">
        <f>J146/E146</f>
        <v/>
      </c>
      <c r="L146" s="304">
        <f>J146/F146</f>
        <v/>
      </c>
      <c r="M146" s="74" t="n"/>
    </row>
    <row r="147" hidden="1" ht="15" customHeight="1" s="272">
      <c r="A147" s="287" t="n"/>
      <c r="B147" s="287" t="n"/>
      <c r="C147" s="287" t="n"/>
      <c r="D147" s="208" t="inlineStr">
        <is>
          <t>1月</t>
        </is>
      </c>
      <c r="E147" s="360" t="n"/>
      <c r="F147" s="361" t="n"/>
      <c r="G147" s="362" t="n"/>
      <c r="H147" s="363" t="n"/>
      <c r="I147" s="364" t="n"/>
      <c r="J147" s="304">
        <f>G147+H147+I147</f>
        <v/>
      </c>
      <c r="K147" s="304">
        <f>J147/E147</f>
        <v/>
      </c>
      <c r="L147" s="304">
        <f>J147/F147</f>
        <v/>
      </c>
      <c r="M147" s="74" t="n"/>
    </row>
    <row r="148" hidden="1" ht="15" customHeight="1" s="272">
      <c r="A148" s="287" t="n"/>
      <c r="B148" s="287" t="n"/>
      <c r="C148" s="287" t="n"/>
      <c r="D148" s="208" t="inlineStr">
        <is>
          <t>2月</t>
        </is>
      </c>
      <c r="E148" s="360" t="n"/>
      <c r="F148" s="361" t="n"/>
      <c r="G148" s="362" t="n"/>
      <c r="H148" s="363" t="n"/>
      <c r="I148" s="364" t="n"/>
      <c r="J148" s="304">
        <f>G148+H148+I148</f>
        <v/>
      </c>
      <c r="K148" s="304">
        <f>J148/E148</f>
        <v/>
      </c>
      <c r="L148" s="304">
        <f>J148/F148</f>
        <v/>
      </c>
      <c r="M148" s="74" t="n"/>
    </row>
    <row r="149" hidden="1" ht="15" customHeight="1" s="272">
      <c r="A149" s="290" t="n"/>
      <c r="B149" s="290" t="n"/>
      <c r="C149" s="290" t="n"/>
      <c r="D149" s="211" t="inlineStr">
        <is>
          <t>3月</t>
        </is>
      </c>
      <c r="E149" s="365" t="n"/>
      <c r="F149" s="366" t="n"/>
      <c r="G149" s="367" t="n"/>
      <c r="H149" s="368" t="n"/>
      <c r="I149" s="369" t="n"/>
      <c r="J149" s="312">
        <f>G149+H149+I149</f>
        <v/>
      </c>
      <c r="K149" s="312">
        <f>J149/E149</f>
        <v/>
      </c>
      <c r="L149" s="312">
        <f>J149/F149</f>
        <v/>
      </c>
      <c r="M149" s="75" t="n"/>
    </row>
    <row r="150" hidden="1" ht="15" customHeight="1" s="272">
      <c r="A150" s="291" t="n">
        <v>13</v>
      </c>
      <c r="B150" s="84" t="n"/>
      <c r="C150" s="84" t="n"/>
      <c r="D150" s="205" t="inlineStr">
        <is>
          <t>4月</t>
        </is>
      </c>
      <c r="E150" s="355" t="n"/>
      <c r="F150" s="356" t="n"/>
      <c r="G150" s="357" t="n"/>
      <c r="H150" s="358" t="n"/>
      <c r="I150" s="359" t="n"/>
      <c r="J150" s="297">
        <f>G150+H150+I150</f>
        <v/>
      </c>
      <c r="K150" s="297">
        <f>J150/E150</f>
        <v/>
      </c>
      <c r="L150" s="297">
        <f>J150/F150</f>
        <v/>
      </c>
      <c r="M150" s="73" t="n"/>
    </row>
    <row r="151" hidden="1" ht="15" customHeight="1" s="272">
      <c r="A151" s="287" t="n"/>
      <c r="B151" s="287" t="n"/>
      <c r="C151" s="287" t="n"/>
      <c r="D151" s="208" t="inlineStr">
        <is>
          <t>5月</t>
        </is>
      </c>
      <c r="E151" s="360" t="n"/>
      <c r="F151" s="361" t="n"/>
      <c r="G151" s="362" t="n"/>
      <c r="H151" s="363" t="n"/>
      <c r="I151" s="364" t="n"/>
      <c r="J151" s="304">
        <f>G151+H151+I151</f>
        <v/>
      </c>
      <c r="K151" s="304">
        <f>J151/E151</f>
        <v/>
      </c>
      <c r="L151" s="304">
        <f>J151/F151</f>
        <v/>
      </c>
      <c r="M151" s="74" t="n"/>
    </row>
    <row r="152" hidden="1" ht="15" customHeight="1" s="272">
      <c r="A152" s="287" t="n"/>
      <c r="B152" s="287" t="n"/>
      <c r="C152" s="287" t="n"/>
      <c r="D152" s="208" t="inlineStr">
        <is>
          <t>6月</t>
        </is>
      </c>
      <c r="E152" s="360" t="n"/>
      <c r="F152" s="361" t="n"/>
      <c r="G152" s="362" t="n"/>
      <c r="H152" s="363" t="n"/>
      <c r="I152" s="364" t="n"/>
      <c r="J152" s="304">
        <f>G152+H152+I152</f>
        <v/>
      </c>
      <c r="K152" s="304">
        <f>J152/E152</f>
        <v/>
      </c>
      <c r="L152" s="304">
        <f>J152/F152</f>
        <v/>
      </c>
      <c r="M152" s="74" t="n"/>
    </row>
    <row r="153" hidden="1" ht="15" customHeight="1" s="272">
      <c r="A153" s="287" t="n"/>
      <c r="B153" s="287" t="n"/>
      <c r="C153" s="287" t="n"/>
      <c r="D153" s="208" t="inlineStr">
        <is>
          <t>7月</t>
        </is>
      </c>
      <c r="E153" s="360" t="n"/>
      <c r="F153" s="361" t="n"/>
      <c r="G153" s="362" t="n"/>
      <c r="H153" s="363" t="n"/>
      <c r="I153" s="364" t="n"/>
      <c r="J153" s="304">
        <f>G153+H153+I153</f>
        <v/>
      </c>
      <c r="K153" s="304">
        <f>J153/E153</f>
        <v/>
      </c>
      <c r="L153" s="304">
        <f>J153/F153</f>
        <v/>
      </c>
      <c r="M153" s="74" t="n"/>
    </row>
    <row r="154" hidden="1" ht="15" customHeight="1" s="272">
      <c r="A154" s="287" t="n"/>
      <c r="B154" s="287" t="n"/>
      <c r="C154" s="287" t="n"/>
      <c r="D154" s="208" t="inlineStr">
        <is>
          <t>8月</t>
        </is>
      </c>
      <c r="E154" s="360" t="n"/>
      <c r="F154" s="361" t="n"/>
      <c r="G154" s="362" t="n"/>
      <c r="H154" s="363" t="n"/>
      <c r="I154" s="364" t="n"/>
      <c r="J154" s="304">
        <f>G154+H154+I154</f>
        <v/>
      </c>
      <c r="K154" s="304">
        <f>J154/E154</f>
        <v/>
      </c>
      <c r="L154" s="304">
        <f>J154/F154</f>
        <v/>
      </c>
      <c r="M154" s="74" t="n"/>
    </row>
    <row r="155" hidden="1" ht="15" customHeight="1" s="272">
      <c r="A155" s="287" t="n"/>
      <c r="B155" s="287" t="n"/>
      <c r="C155" s="287" t="n"/>
      <c r="D155" s="208" t="inlineStr">
        <is>
          <t>9月</t>
        </is>
      </c>
      <c r="E155" s="360" t="n"/>
      <c r="F155" s="361" t="n"/>
      <c r="G155" s="362" t="n"/>
      <c r="H155" s="363" t="n"/>
      <c r="I155" s="364" t="n"/>
      <c r="J155" s="304">
        <f>G155+H155+I155</f>
        <v/>
      </c>
      <c r="K155" s="304">
        <f>J155/E155</f>
        <v/>
      </c>
      <c r="L155" s="304">
        <f>J155/F155</f>
        <v/>
      </c>
      <c r="M155" s="74" t="n"/>
    </row>
    <row r="156" hidden="1" ht="15" customHeight="1" s="272">
      <c r="A156" s="287" t="n"/>
      <c r="B156" s="287" t="n"/>
      <c r="C156" s="287" t="n"/>
      <c r="D156" s="208" t="inlineStr">
        <is>
          <t>10月</t>
        </is>
      </c>
      <c r="E156" s="360" t="n"/>
      <c r="F156" s="361" t="n"/>
      <c r="G156" s="362" t="n"/>
      <c r="H156" s="363" t="n"/>
      <c r="I156" s="364" t="n"/>
      <c r="J156" s="304">
        <f>G156+H156+I156</f>
        <v/>
      </c>
      <c r="K156" s="304">
        <f>J156/E156</f>
        <v/>
      </c>
      <c r="L156" s="304">
        <f>J156/F156</f>
        <v/>
      </c>
      <c r="M156" s="74" t="n"/>
    </row>
    <row r="157" hidden="1" ht="15" customHeight="1" s="272">
      <c r="A157" s="287" t="n"/>
      <c r="B157" s="287" t="n"/>
      <c r="C157" s="287" t="n"/>
      <c r="D157" s="208" t="inlineStr">
        <is>
          <t>11月</t>
        </is>
      </c>
      <c r="E157" s="360" t="n"/>
      <c r="F157" s="361" t="n"/>
      <c r="G157" s="362" t="n"/>
      <c r="H157" s="363" t="n"/>
      <c r="I157" s="364" t="n"/>
      <c r="J157" s="304">
        <f>G157+H157+I157</f>
        <v/>
      </c>
      <c r="K157" s="304">
        <f>J157/E157</f>
        <v/>
      </c>
      <c r="L157" s="304">
        <f>J157/F157</f>
        <v/>
      </c>
      <c r="M157" s="74" t="n"/>
    </row>
    <row r="158" hidden="1" ht="15" customHeight="1" s="272">
      <c r="A158" s="287" t="n"/>
      <c r="B158" s="287" t="n"/>
      <c r="C158" s="287" t="n"/>
      <c r="D158" s="208" t="inlineStr">
        <is>
          <t>12月</t>
        </is>
      </c>
      <c r="E158" s="360" t="n"/>
      <c r="F158" s="361" t="n"/>
      <c r="G158" s="362" t="n"/>
      <c r="H158" s="363" t="n"/>
      <c r="I158" s="364" t="n"/>
      <c r="J158" s="304">
        <f>G158+H158+I158</f>
        <v/>
      </c>
      <c r="K158" s="304">
        <f>J158/E158</f>
        <v/>
      </c>
      <c r="L158" s="304">
        <f>J158/F158</f>
        <v/>
      </c>
      <c r="M158" s="74" t="n"/>
    </row>
    <row r="159" hidden="1" ht="15" customHeight="1" s="272">
      <c r="A159" s="287" t="n"/>
      <c r="B159" s="287" t="n"/>
      <c r="C159" s="287" t="n"/>
      <c r="D159" s="208" t="inlineStr">
        <is>
          <t>1月</t>
        </is>
      </c>
      <c r="E159" s="360" t="n"/>
      <c r="F159" s="361" t="n"/>
      <c r="G159" s="362" t="n"/>
      <c r="H159" s="363" t="n"/>
      <c r="I159" s="364" t="n"/>
      <c r="J159" s="304">
        <f>G159+H159+I159</f>
        <v/>
      </c>
      <c r="K159" s="304">
        <f>J159/E159</f>
        <v/>
      </c>
      <c r="L159" s="304">
        <f>J159/F159</f>
        <v/>
      </c>
      <c r="M159" s="74" t="n"/>
    </row>
    <row r="160" hidden="1" ht="15" customHeight="1" s="272">
      <c r="A160" s="287" t="n"/>
      <c r="B160" s="287" t="n"/>
      <c r="C160" s="287" t="n"/>
      <c r="D160" s="208" t="inlineStr">
        <is>
          <t>2月</t>
        </is>
      </c>
      <c r="E160" s="360" t="n"/>
      <c r="F160" s="361" t="n"/>
      <c r="G160" s="362" t="n"/>
      <c r="H160" s="363" t="n"/>
      <c r="I160" s="364" t="n"/>
      <c r="J160" s="304">
        <f>G160+H160+I160</f>
        <v/>
      </c>
      <c r="K160" s="304">
        <f>J160/E160</f>
        <v/>
      </c>
      <c r="L160" s="304">
        <f>J160/F160</f>
        <v/>
      </c>
      <c r="M160" s="74" t="n"/>
    </row>
    <row r="161" hidden="1" ht="15" customHeight="1" s="272">
      <c r="A161" s="290" t="n"/>
      <c r="B161" s="290" t="n"/>
      <c r="C161" s="290" t="n"/>
      <c r="D161" s="211" t="inlineStr">
        <is>
          <t>3月</t>
        </is>
      </c>
      <c r="E161" s="365" t="n"/>
      <c r="F161" s="366" t="n"/>
      <c r="G161" s="367" t="n"/>
      <c r="H161" s="368" t="n"/>
      <c r="I161" s="369" t="n"/>
      <c r="J161" s="311">
        <f>G161+H161+I161</f>
        <v/>
      </c>
      <c r="K161" s="311">
        <f>J161/E161</f>
        <v/>
      </c>
      <c r="L161" s="311">
        <f>J161/F161</f>
        <v/>
      </c>
      <c r="M161" s="75" t="n"/>
    </row>
    <row r="162" hidden="1" ht="15" customHeight="1" s="272">
      <c r="A162" s="291" t="n">
        <v>14</v>
      </c>
      <c r="B162" s="84" t="n"/>
      <c r="C162" s="84" t="n"/>
      <c r="D162" s="205" t="inlineStr">
        <is>
          <t>4月</t>
        </is>
      </c>
      <c r="E162" s="355" t="n"/>
      <c r="F162" s="356" t="n"/>
      <c r="G162" s="357" t="n"/>
      <c r="H162" s="358" t="n"/>
      <c r="I162" s="359" t="n"/>
      <c r="J162" s="297">
        <f>G162+H162+I162</f>
        <v/>
      </c>
      <c r="K162" s="297">
        <f>J162/E162</f>
        <v/>
      </c>
      <c r="L162" s="297">
        <f>J162/F162</f>
        <v/>
      </c>
      <c r="M162" s="73" t="n"/>
    </row>
    <row r="163" hidden="1" ht="15" customHeight="1" s="272">
      <c r="A163" s="287" t="n"/>
      <c r="B163" s="287" t="n"/>
      <c r="C163" s="287" t="n"/>
      <c r="D163" s="208" t="inlineStr">
        <is>
          <t>5月</t>
        </is>
      </c>
      <c r="E163" s="360" t="n"/>
      <c r="F163" s="361" t="n"/>
      <c r="G163" s="362" t="n"/>
      <c r="H163" s="363" t="n"/>
      <c r="I163" s="364" t="n"/>
      <c r="J163" s="304">
        <f>G163+H163+I163</f>
        <v/>
      </c>
      <c r="K163" s="304">
        <f>J163/E163</f>
        <v/>
      </c>
      <c r="L163" s="304">
        <f>J163/F163</f>
        <v/>
      </c>
      <c r="M163" s="74" t="n"/>
    </row>
    <row r="164" hidden="1" ht="15" customHeight="1" s="272">
      <c r="A164" s="287" t="n"/>
      <c r="B164" s="287" t="n"/>
      <c r="C164" s="287" t="n"/>
      <c r="D164" s="208" t="inlineStr">
        <is>
          <t>6月</t>
        </is>
      </c>
      <c r="E164" s="360" t="n"/>
      <c r="F164" s="361" t="n"/>
      <c r="G164" s="362" t="n"/>
      <c r="H164" s="363" t="n"/>
      <c r="I164" s="364" t="n"/>
      <c r="J164" s="304">
        <f>G164+H164+I164</f>
        <v/>
      </c>
      <c r="K164" s="304">
        <f>J164/E164</f>
        <v/>
      </c>
      <c r="L164" s="304">
        <f>J164/F164</f>
        <v/>
      </c>
      <c r="M164" s="74" t="n"/>
    </row>
    <row r="165" hidden="1" ht="15" customHeight="1" s="272">
      <c r="A165" s="287" t="n"/>
      <c r="B165" s="287" t="n"/>
      <c r="C165" s="287" t="n"/>
      <c r="D165" s="208" t="inlineStr">
        <is>
          <t>7月</t>
        </is>
      </c>
      <c r="E165" s="360" t="n"/>
      <c r="F165" s="361" t="n"/>
      <c r="G165" s="362" t="n"/>
      <c r="H165" s="363" t="n"/>
      <c r="I165" s="364" t="n"/>
      <c r="J165" s="304">
        <f>G165+H165+I165</f>
        <v/>
      </c>
      <c r="K165" s="304">
        <f>J165/E165</f>
        <v/>
      </c>
      <c r="L165" s="304">
        <f>J165/F165</f>
        <v/>
      </c>
      <c r="M165" s="74" t="n"/>
    </row>
    <row r="166" hidden="1" ht="15" customHeight="1" s="272">
      <c r="A166" s="287" t="n"/>
      <c r="B166" s="287" t="n"/>
      <c r="C166" s="287" t="n"/>
      <c r="D166" s="208" t="inlineStr">
        <is>
          <t>8月</t>
        </is>
      </c>
      <c r="E166" s="360" t="n"/>
      <c r="F166" s="361" t="n"/>
      <c r="G166" s="362" t="n"/>
      <c r="H166" s="363" t="n"/>
      <c r="I166" s="364" t="n"/>
      <c r="J166" s="304">
        <f>G166+H166+I166</f>
        <v/>
      </c>
      <c r="K166" s="304">
        <f>J166/E166</f>
        <v/>
      </c>
      <c r="L166" s="304">
        <f>J166/F166</f>
        <v/>
      </c>
      <c r="M166" s="74" t="n"/>
    </row>
    <row r="167" hidden="1" ht="15" customHeight="1" s="272">
      <c r="A167" s="287" t="n"/>
      <c r="B167" s="287" t="n"/>
      <c r="C167" s="287" t="n"/>
      <c r="D167" s="208" t="inlineStr">
        <is>
          <t>9月</t>
        </is>
      </c>
      <c r="E167" s="360" t="n"/>
      <c r="F167" s="361" t="n"/>
      <c r="G167" s="362" t="n"/>
      <c r="H167" s="363" t="n"/>
      <c r="I167" s="364" t="n"/>
      <c r="J167" s="304">
        <f>G167+H167+I167</f>
        <v/>
      </c>
      <c r="K167" s="304">
        <f>J167/E167</f>
        <v/>
      </c>
      <c r="L167" s="304">
        <f>J167/F167</f>
        <v/>
      </c>
      <c r="M167" s="74" t="n"/>
    </row>
    <row r="168" hidden="1" ht="15" customHeight="1" s="272">
      <c r="A168" s="287" t="n"/>
      <c r="B168" s="287" t="n"/>
      <c r="C168" s="287" t="n"/>
      <c r="D168" s="208" t="inlineStr">
        <is>
          <t>10月</t>
        </is>
      </c>
      <c r="E168" s="360" t="n"/>
      <c r="F168" s="361" t="n"/>
      <c r="G168" s="362" t="n"/>
      <c r="H168" s="363" t="n"/>
      <c r="I168" s="364" t="n"/>
      <c r="J168" s="304">
        <f>G168+H168+I168</f>
        <v/>
      </c>
      <c r="K168" s="304">
        <f>J168/E168</f>
        <v/>
      </c>
      <c r="L168" s="304">
        <f>J168/F168</f>
        <v/>
      </c>
      <c r="M168" s="74" t="n"/>
    </row>
    <row r="169" hidden="1" ht="15" customHeight="1" s="272">
      <c r="A169" s="287" t="n"/>
      <c r="B169" s="287" t="n"/>
      <c r="C169" s="287" t="n"/>
      <c r="D169" s="208" t="inlineStr">
        <is>
          <t>11月</t>
        </is>
      </c>
      <c r="E169" s="360" t="n"/>
      <c r="F169" s="361" t="n"/>
      <c r="G169" s="362" t="n"/>
      <c r="H169" s="363" t="n"/>
      <c r="I169" s="364" t="n"/>
      <c r="J169" s="304">
        <f>G169+H169+I169</f>
        <v/>
      </c>
      <c r="K169" s="304">
        <f>J169/E169</f>
        <v/>
      </c>
      <c r="L169" s="304">
        <f>J169/F169</f>
        <v/>
      </c>
      <c r="M169" s="74" t="n"/>
    </row>
    <row r="170" hidden="1" ht="15" customHeight="1" s="272">
      <c r="A170" s="287" t="n"/>
      <c r="B170" s="287" t="n"/>
      <c r="C170" s="287" t="n"/>
      <c r="D170" s="208" t="inlineStr">
        <is>
          <t>12月</t>
        </is>
      </c>
      <c r="E170" s="360" t="n"/>
      <c r="F170" s="361" t="n"/>
      <c r="G170" s="362" t="n"/>
      <c r="H170" s="363" t="n"/>
      <c r="I170" s="364" t="n"/>
      <c r="J170" s="304">
        <f>G170+H170+I170</f>
        <v/>
      </c>
      <c r="K170" s="304">
        <f>J170/E170</f>
        <v/>
      </c>
      <c r="L170" s="304">
        <f>J170/F170</f>
        <v/>
      </c>
      <c r="M170" s="74" t="n"/>
    </row>
    <row r="171" hidden="1" ht="15" customHeight="1" s="272">
      <c r="A171" s="287" t="n"/>
      <c r="B171" s="287" t="n"/>
      <c r="C171" s="287" t="n"/>
      <c r="D171" s="208" t="inlineStr">
        <is>
          <t>1月</t>
        </is>
      </c>
      <c r="E171" s="360" t="n"/>
      <c r="F171" s="361" t="n"/>
      <c r="G171" s="362" t="n"/>
      <c r="H171" s="363" t="n"/>
      <c r="I171" s="364" t="n"/>
      <c r="J171" s="304">
        <f>G171+H171+I171</f>
        <v/>
      </c>
      <c r="K171" s="304">
        <f>J171/E171</f>
        <v/>
      </c>
      <c r="L171" s="304">
        <f>J171/F171</f>
        <v/>
      </c>
      <c r="M171" s="74" t="n"/>
    </row>
    <row r="172" hidden="1" ht="15" customHeight="1" s="272">
      <c r="A172" s="287" t="n"/>
      <c r="B172" s="287" t="n"/>
      <c r="C172" s="287" t="n"/>
      <c r="D172" s="208" t="inlineStr">
        <is>
          <t>2月</t>
        </is>
      </c>
      <c r="E172" s="360" t="n"/>
      <c r="F172" s="361" t="n"/>
      <c r="G172" s="362" t="n"/>
      <c r="H172" s="363" t="n"/>
      <c r="I172" s="364" t="n"/>
      <c r="J172" s="304">
        <f>G172+H172+I172</f>
        <v/>
      </c>
      <c r="K172" s="304">
        <f>J172/E172</f>
        <v/>
      </c>
      <c r="L172" s="304">
        <f>J172/F172</f>
        <v/>
      </c>
      <c r="M172" s="74" t="n"/>
    </row>
    <row r="173" hidden="1" ht="15" customHeight="1" s="272">
      <c r="A173" s="290" t="n"/>
      <c r="B173" s="290" t="n"/>
      <c r="C173" s="290" t="n"/>
      <c r="D173" s="211" t="inlineStr">
        <is>
          <t>3月</t>
        </is>
      </c>
      <c r="E173" s="365" t="n"/>
      <c r="F173" s="366" t="n"/>
      <c r="G173" s="367" t="n"/>
      <c r="H173" s="368" t="n"/>
      <c r="I173" s="369" t="n"/>
      <c r="J173" s="311">
        <f>G173+H173+I173</f>
        <v/>
      </c>
      <c r="K173" s="311">
        <f>J173/E173</f>
        <v/>
      </c>
      <c r="L173" s="311">
        <f>J173/F173</f>
        <v/>
      </c>
      <c r="M173" s="75" t="n"/>
    </row>
    <row r="174" hidden="1" ht="15" customHeight="1" s="272">
      <c r="A174" s="291" t="n">
        <v>15</v>
      </c>
      <c r="B174" s="84" t="n"/>
      <c r="C174" s="84" t="n"/>
      <c r="D174" s="205" t="inlineStr">
        <is>
          <t>4月</t>
        </is>
      </c>
      <c r="E174" s="355" t="n"/>
      <c r="F174" s="356" t="n"/>
      <c r="G174" s="357" t="n"/>
      <c r="H174" s="358" t="n"/>
      <c r="I174" s="359" t="n"/>
      <c r="J174" s="297">
        <f>G174+H174+I174</f>
        <v/>
      </c>
      <c r="K174" s="297">
        <f>J174/E174</f>
        <v/>
      </c>
      <c r="L174" s="297">
        <f>J174/F174</f>
        <v/>
      </c>
      <c r="M174" s="73" t="n"/>
    </row>
    <row r="175" hidden="1" ht="15" customHeight="1" s="272">
      <c r="A175" s="287" t="n"/>
      <c r="B175" s="287" t="n"/>
      <c r="C175" s="287" t="n"/>
      <c r="D175" s="208" t="inlineStr">
        <is>
          <t>5月</t>
        </is>
      </c>
      <c r="E175" s="360" t="n"/>
      <c r="F175" s="361" t="n"/>
      <c r="G175" s="362" t="n"/>
      <c r="H175" s="363" t="n"/>
      <c r="I175" s="364" t="n"/>
      <c r="J175" s="304">
        <f>G175+H175+I175</f>
        <v/>
      </c>
      <c r="K175" s="304">
        <f>J175/E175</f>
        <v/>
      </c>
      <c r="L175" s="304">
        <f>J175/F175</f>
        <v/>
      </c>
      <c r="M175" s="74" t="n"/>
    </row>
    <row r="176" hidden="1" ht="15" customHeight="1" s="272">
      <c r="A176" s="287" t="n"/>
      <c r="B176" s="287" t="n"/>
      <c r="C176" s="287" t="n"/>
      <c r="D176" s="208" t="inlineStr">
        <is>
          <t>6月</t>
        </is>
      </c>
      <c r="E176" s="360" t="n"/>
      <c r="F176" s="361" t="n"/>
      <c r="G176" s="362" t="n"/>
      <c r="H176" s="363" t="n"/>
      <c r="I176" s="364" t="n"/>
      <c r="J176" s="304">
        <f>G176+H176+I176</f>
        <v/>
      </c>
      <c r="K176" s="304">
        <f>J176/E176</f>
        <v/>
      </c>
      <c r="L176" s="304">
        <f>J176/F176</f>
        <v/>
      </c>
      <c r="M176" s="74" t="n"/>
    </row>
    <row r="177" hidden="1" ht="15" customHeight="1" s="272">
      <c r="A177" s="287" t="n"/>
      <c r="B177" s="287" t="n"/>
      <c r="C177" s="287" t="n"/>
      <c r="D177" s="208" t="inlineStr">
        <is>
          <t>7月</t>
        </is>
      </c>
      <c r="E177" s="360" t="n"/>
      <c r="F177" s="361" t="n"/>
      <c r="G177" s="362" t="n"/>
      <c r="H177" s="363" t="n"/>
      <c r="I177" s="364" t="n"/>
      <c r="J177" s="304">
        <f>G177+H177+I177</f>
        <v/>
      </c>
      <c r="K177" s="304">
        <f>J177/E177</f>
        <v/>
      </c>
      <c r="L177" s="304">
        <f>J177/F177</f>
        <v/>
      </c>
      <c r="M177" s="74" t="n"/>
    </row>
    <row r="178" hidden="1" ht="15" customHeight="1" s="272">
      <c r="A178" s="287" t="n"/>
      <c r="B178" s="287" t="n"/>
      <c r="C178" s="287" t="n"/>
      <c r="D178" s="208" t="inlineStr">
        <is>
          <t>8月</t>
        </is>
      </c>
      <c r="E178" s="360" t="n"/>
      <c r="F178" s="361" t="n"/>
      <c r="G178" s="362" t="n"/>
      <c r="H178" s="363" t="n"/>
      <c r="I178" s="364" t="n"/>
      <c r="J178" s="304">
        <f>G178+H178+I178</f>
        <v/>
      </c>
      <c r="K178" s="304">
        <f>J178/E178</f>
        <v/>
      </c>
      <c r="L178" s="304">
        <f>J178/F178</f>
        <v/>
      </c>
      <c r="M178" s="74" t="n"/>
    </row>
    <row r="179" hidden="1" ht="15" customHeight="1" s="272">
      <c r="A179" s="287" t="n"/>
      <c r="B179" s="287" t="n"/>
      <c r="C179" s="287" t="n"/>
      <c r="D179" s="208" t="inlineStr">
        <is>
          <t>9月</t>
        </is>
      </c>
      <c r="E179" s="360" t="n"/>
      <c r="F179" s="361" t="n"/>
      <c r="G179" s="362" t="n"/>
      <c r="H179" s="363" t="n"/>
      <c r="I179" s="364" t="n"/>
      <c r="J179" s="304">
        <f>G179+H179+I179</f>
        <v/>
      </c>
      <c r="K179" s="304">
        <f>J179/E179</f>
        <v/>
      </c>
      <c r="L179" s="304">
        <f>J179/F179</f>
        <v/>
      </c>
      <c r="M179" s="74" t="n"/>
    </row>
    <row r="180" hidden="1" ht="15" customHeight="1" s="272">
      <c r="A180" s="287" t="n"/>
      <c r="B180" s="287" t="n"/>
      <c r="C180" s="287" t="n"/>
      <c r="D180" s="208" t="inlineStr">
        <is>
          <t>10月</t>
        </is>
      </c>
      <c r="E180" s="360" t="n"/>
      <c r="F180" s="361" t="n"/>
      <c r="G180" s="362" t="n"/>
      <c r="H180" s="363" t="n"/>
      <c r="I180" s="364" t="n"/>
      <c r="J180" s="304">
        <f>G180+H180+I180</f>
        <v/>
      </c>
      <c r="K180" s="304">
        <f>J180/E180</f>
        <v/>
      </c>
      <c r="L180" s="304">
        <f>J180/F180</f>
        <v/>
      </c>
      <c r="M180" s="74" t="n"/>
    </row>
    <row r="181" hidden="1" ht="15" customHeight="1" s="272">
      <c r="A181" s="287" t="n"/>
      <c r="B181" s="287" t="n"/>
      <c r="C181" s="287" t="n"/>
      <c r="D181" s="208" t="inlineStr">
        <is>
          <t>11月</t>
        </is>
      </c>
      <c r="E181" s="360" t="n"/>
      <c r="F181" s="361" t="n"/>
      <c r="G181" s="362" t="n"/>
      <c r="H181" s="363" t="n"/>
      <c r="I181" s="364" t="n"/>
      <c r="J181" s="304">
        <f>G181+H181+I181</f>
        <v/>
      </c>
      <c r="K181" s="304">
        <f>J181/E181</f>
        <v/>
      </c>
      <c r="L181" s="304">
        <f>J181/F181</f>
        <v/>
      </c>
      <c r="M181" s="74" t="n"/>
    </row>
    <row r="182" hidden="1" ht="15" customHeight="1" s="272">
      <c r="A182" s="287" t="n"/>
      <c r="B182" s="287" t="n"/>
      <c r="C182" s="287" t="n"/>
      <c r="D182" s="208" t="inlineStr">
        <is>
          <t>12月</t>
        </is>
      </c>
      <c r="E182" s="360" t="n"/>
      <c r="F182" s="361" t="n"/>
      <c r="G182" s="362" t="n"/>
      <c r="H182" s="363" t="n"/>
      <c r="I182" s="364" t="n"/>
      <c r="J182" s="304">
        <f>G182+H182+I182</f>
        <v/>
      </c>
      <c r="K182" s="304">
        <f>J182/E182</f>
        <v/>
      </c>
      <c r="L182" s="304">
        <f>J182/F182</f>
        <v/>
      </c>
      <c r="M182" s="74" t="n"/>
    </row>
    <row r="183" hidden="1" ht="15" customHeight="1" s="272">
      <c r="A183" s="287" t="n"/>
      <c r="B183" s="287" t="n"/>
      <c r="C183" s="287" t="n"/>
      <c r="D183" s="208" t="inlineStr">
        <is>
          <t>1月</t>
        </is>
      </c>
      <c r="E183" s="360" t="n"/>
      <c r="F183" s="361" t="n"/>
      <c r="G183" s="362" t="n"/>
      <c r="H183" s="363" t="n"/>
      <c r="I183" s="364" t="n"/>
      <c r="J183" s="304">
        <f>G183+H183+I183</f>
        <v/>
      </c>
      <c r="K183" s="304">
        <f>J183/E183</f>
        <v/>
      </c>
      <c r="L183" s="304">
        <f>J183/F183</f>
        <v/>
      </c>
      <c r="M183" s="74" t="n"/>
    </row>
    <row r="184" hidden="1" ht="15" customHeight="1" s="272">
      <c r="A184" s="287" t="n"/>
      <c r="B184" s="287" t="n"/>
      <c r="C184" s="287" t="n"/>
      <c r="D184" s="208" t="inlineStr">
        <is>
          <t>2月</t>
        </is>
      </c>
      <c r="E184" s="360" t="n"/>
      <c r="F184" s="361" t="n"/>
      <c r="G184" s="362" t="n"/>
      <c r="H184" s="363" t="n"/>
      <c r="I184" s="364" t="n"/>
      <c r="J184" s="304">
        <f>G184+H184+I184</f>
        <v/>
      </c>
      <c r="K184" s="304">
        <f>J184/E184</f>
        <v/>
      </c>
      <c r="L184" s="304">
        <f>J184/F184</f>
        <v/>
      </c>
      <c r="M184" s="74" t="n"/>
    </row>
    <row r="185" hidden="1" ht="15" customHeight="1" s="272">
      <c r="A185" s="290" t="n"/>
      <c r="B185" s="290" t="n"/>
      <c r="C185" s="290" t="n"/>
      <c r="D185" s="211" t="inlineStr">
        <is>
          <t>3月</t>
        </is>
      </c>
      <c r="E185" s="365" t="n"/>
      <c r="F185" s="366" t="n"/>
      <c r="G185" s="367" t="n"/>
      <c r="H185" s="368" t="n"/>
      <c r="I185" s="369" t="n"/>
      <c r="J185" s="311">
        <f>G185+H185+I185</f>
        <v/>
      </c>
      <c r="K185" s="311">
        <f>J185/E185</f>
        <v/>
      </c>
      <c r="L185" s="311">
        <f>J185/F185</f>
        <v/>
      </c>
      <c r="M185" s="75" t="n"/>
    </row>
    <row r="186" hidden="1" ht="15" customHeight="1" s="272">
      <c r="A186" s="291" t="n">
        <v>16</v>
      </c>
      <c r="B186" s="84" t="n"/>
      <c r="C186" s="84" t="n"/>
      <c r="D186" s="205" t="inlineStr">
        <is>
          <t>4月</t>
        </is>
      </c>
      <c r="E186" s="355" t="n"/>
      <c r="F186" s="356" t="n"/>
      <c r="G186" s="357" t="n"/>
      <c r="H186" s="358" t="n"/>
      <c r="I186" s="359" t="n"/>
      <c r="J186" s="297">
        <f>G186+H186+I186</f>
        <v/>
      </c>
      <c r="K186" s="297">
        <f>J186/E186</f>
        <v/>
      </c>
      <c r="L186" s="297">
        <f>J186/F186</f>
        <v/>
      </c>
      <c r="M186" s="73" t="n"/>
    </row>
    <row r="187" hidden="1" ht="15" customHeight="1" s="272">
      <c r="A187" s="287" t="n"/>
      <c r="B187" s="287" t="n"/>
      <c r="C187" s="287" t="n"/>
      <c r="D187" s="208" t="inlineStr">
        <is>
          <t>5月</t>
        </is>
      </c>
      <c r="E187" s="360" t="n"/>
      <c r="F187" s="361" t="n"/>
      <c r="G187" s="362" t="n"/>
      <c r="H187" s="363" t="n"/>
      <c r="I187" s="364" t="n"/>
      <c r="J187" s="304">
        <f>G187+H187+I187</f>
        <v/>
      </c>
      <c r="K187" s="304">
        <f>J187/E187</f>
        <v/>
      </c>
      <c r="L187" s="304">
        <f>J187/F187</f>
        <v/>
      </c>
      <c r="M187" s="74" t="n"/>
    </row>
    <row r="188" hidden="1" ht="15" customHeight="1" s="272">
      <c r="A188" s="287" t="n"/>
      <c r="B188" s="287" t="n"/>
      <c r="C188" s="287" t="n"/>
      <c r="D188" s="208" t="inlineStr">
        <is>
          <t>6月</t>
        </is>
      </c>
      <c r="E188" s="360" t="n"/>
      <c r="F188" s="361" t="n"/>
      <c r="G188" s="362" t="n"/>
      <c r="H188" s="363" t="n"/>
      <c r="I188" s="364" t="n"/>
      <c r="J188" s="304">
        <f>G188+H188+I188</f>
        <v/>
      </c>
      <c r="K188" s="304">
        <f>J188/E188</f>
        <v/>
      </c>
      <c r="L188" s="304">
        <f>J188/F188</f>
        <v/>
      </c>
      <c r="M188" s="74" t="n"/>
    </row>
    <row r="189" hidden="1" ht="15" customHeight="1" s="272">
      <c r="A189" s="287" t="n"/>
      <c r="B189" s="287" t="n"/>
      <c r="C189" s="287" t="n"/>
      <c r="D189" s="208" t="inlineStr">
        <is>
          <t>7月</t>
        </is>
      </c>
      <c r="E189" s="360" t="n"/>
      <c r="F189" s="361" t="n"/>
      <c r="G189" s="362" t="n"/>
      <c r="H189" s="363" t="n"/>
      <c r="I189" s="364" t="n"/>
      <c r="J189" s="304">
        <f>G189+H189+I189</f>
        <v/>
      </c>
      <c r="K189" s="304">
        <f>J189/E189</f>
        <v/>
      </c>
      <c r="L189" s="304">
        <f>J189/F189</f>
        <v/>
      </c>
      <c r="M189" s="74" t="n"/>
    </row>
    <row r="190" hidden="1" ht="15" customHeight="1" s="272">
      <c r="A190" s="287" t="n"/>
      <c r="B190" s="287" t="n"/>
      <c r="C190" s="287" t="n"/>
      <c r="D190" s="208" t="inlineStr">
        <is>
          <t>8月</t>
        </is>
      </c>
      <c r="E190" s="360" t="n"/>
      <c r="F190" s="361" t="n"/>
      <c r="G190" s="362" t="n"/>
      <c r="H190" s="363" t="n"/>
      <c r="I190" s="364" t="n"/>
      <c r="J190" s="304">
        <f>G190+H190+I190</f>
        <v/>
      </c>
      <c r="K190" s="304">
        <f>J190/E190</f>
        <v/>
      </c>
      <c r="L190" s="304">
        <f>J190/F190</f>
        <v/>
      </c>
      <c r="M190" s="74" t="n"/>
    </row>
    <row r="191" hidden="1" ht="15" customHeight="1" s="272">
      <c r="A191" s="287" t="n"/>
      <c r="B191" s="287" t="n"/>
      <c r="C191" s="287" t="n"/>
      <c r="D191" s="208" t="inlineStr">
        <is>
          <t>9月</t>
        </is>
      </c>
      <c r="E191" s="360" t="n"/>
      <c r="F191" s="361" t="n"/>
      <c r="G191" s="362" t="n"/>
      <c r="H191" s="363" t="n"/>
      <c r="I191" s="364" t="n"/>
      <c r="J191" s="304">
        <f>G191+H191+I191</f>
        <v/>
      </c>
      <c r="K191" s="304">
        <f>J191/E191</f>
        <v/>
      </c>
      <c r="L191" s="304">
        <f>J191/F191</f>
        <v/>
      </c>
      <c r="M191" s="74" t="n"/>
    </row>
    <row r="192" hidden="1" ht="15" customHeight="1" s="272">
      <c r="A192" s="287" t="n"/>
      <c r="B192" s="287" t="n"/>
      <c r="C192" s="287" t="n"/>
      <c r="D192" s="208" t="inlineStr">
        <is>
          <t>10月</t>
        </is>
      </c>
      <c r="E192" s="360" t="n"/>
      <c r="F192" s="361" t="n"/>
      <c r="G192" s="362" t="n"/>
      <c r="H192" s="363" t="n"/>
      <c r="I192" s="364" t="n"/>
      <c r="J192" s="304">
        <f>G192+H192+I192</f>
        <v/>
      </c>
      <c r="K192" s="304">
        <f>J192/E192</f>
        <v/>
      </c>
      <c r="L192" s="304">
        <f>J192/F192</f>
        <v/>
      </c>
      <c r="M192" s="74" t="n"/>
    </row>
    <row r="193" hidden="1" ht="15" customHeight="1" s="272">
      <c r="A193" s="287" t="n"/>
      <c r="B193" s="287" t="n"/>
      <c r="C193" s="287" t="n"/>
      <c r="D193" s="208" t="inlineStr">
        <is>
          <t>11月</t>
        </is>
      </c>
      <c r="E193" s="360" t="n"/>
      <c r="F193" s="361" t="n"/>
      <c r="G193" s="362" t="n"/>
      <c r="H193" s="363" t="n"/>
      <c r="I193" s="364" t="n"/>
      <c r="J193" s="304">
        <f>G193+H193+I193</f>
        <v/>
      </c>
      <c r="K193" s="304">
        <f>J193/E193</f>
        <v/>
      </c>
      <c r="L193" s="304">
        <f>J193/F193</f>
        <v/>
      </c>
      <c r="M193" s="74" t="n"/>
    </row>
    <row r="194" hidden="1" ht="15" customHeight="1" s="272">
      <c r="A194" s="287" t="n"/>
      <c r="B194" s="287" t="n"/>
      <c r="C194" s="287" t="n"/>
      <c r="D194" s="208" t="inlineStr">
        <is>
          <t>12月</t>
        </is>
      </c>
      <c r="E194" s="360" t="n"/>
      <c r="F194" s="361" t="n"/>
      <c r="G194" s="362" t="n"/>
      <c r="H194" s="363" t="n"/>
      <c r="I194" s="364" t="n"/>
      <c r="J194" s="304">
        <f>G194+H194+I194</f>
        <v/>
      </c>
      <c r="K194" s="304">
        <f>J194/E194</f>
        <v/>
      </c>
      <c r="L194" s="304">
        <f>J194/F194</f>
        <v/>
      </c>
      <c r="M194" s="74" t="n"/>
    </row>
    <row r="195" hidden="1" ht="15" customHeight="1" s="272">
      <c r="A195" s="287" t="n"/>
      <c r="B195" s="287" t="n"/>
      <c r="C195" s="287" t="n"/>
      <c r="D195" s="208" t="inlineStr">
        <is>
          <t>1月</t>
        </is>
      </c>
      <c r="E195" s="360" t="n"/>
      <c r="F195" s="361" t="n"/>
      <c r="G195" s="362" t="n"/>
      <c r="H195" s="363" t="n"/>
      <c r="I195" s="364" t="n"/>
      <c r="J195" s="304">
        <f>G195+H195+I195</f>
        <v/>
      </c>
      <c r="K195" s="304">
        <f>J195/E195</f>
        <v/>
      </c>
      <c r="L195" s="304">
        <f>J195/F195</f>
        <v/>
      </c>
      <c r="M195" s="74" t="n"/>
    </row>
    <row r="196" hidden="1" ht="15" customHeight="1" s="272">
      <c r="A196" s="287" t="n"/>
      <c r="B196" s="287" t="n"/>
      <c r="C196" s="287" t="n"/>
      <c r="D196" s="208" t="inlineStr">
        <is>
          <t>2月</t>
        </is>
      </c>
      <c r="E196" s="360" t="n"/>
      <c r="F196" s="361" t="n"/>
      <c r="G196" s="362" t="n"/>
      <c r="H196" s="363" t="n"/>
      <c r="I196" s="364" t="n"/>
      <c r="J196" s="304">
        <f>G196+H196+I196</f>
        <v/>
      </c>
      <c r="K196" s="304">
        <f>J196/E196</f>
        <v/>
      </c>
      <c r="L196" s="304">
        <f>J196/F196</f>
        <v/>
      </c>
      <c r="M196" s="74" t="n"/>
    </row>
    <row r="197" hidden="1" ht="15" customHeight="1" s="272">
      <c r="A197" s="290" t="n"/>
      <c r="B197" s="290" t="n"/>
      <c r="C197" s="290" t="n"/>
      <c r="D197" s="211" t="inlineStr">
        <is>
          <t>3月</t>
        </is>
      </c>
      <c r="E197" s="365" t="n"/>
      <c r="F197" s="366" t="n"/>
      <c r="G197" s="367" t="n"/>
      <c r="H197" s="368" t="n"/>
      <c r="I197" s="369" t="n"/>
      <c r="J197" s="311">
        <f>G197+H197+I197</f>
        <v/>
      </c>
      <c r="K197" s="311">
        <f>J197/E197</f>
        <v/>
      </c>
      <c r="L197" s="311">
        <f>J197/F197</f>
        <v/>
      </c>
      <c r="M197" s="75" t="n"/>
    </row>
    <row r="198" hidden="1" ht="15" customHeight="1" s="272">
      <c r="A198" s="291" t="n">
        <v>17</v>
      </c>
      <c r="B198" s="84" t="n"/>
      <c r="C198" s="84" t="n"/>
      <c r="D198" s="205" t="inlineStr">
        <is>
          <t>4月</t>
        </is>
      </c>
      <c r="E198" s="355" t="n"/>
      <c r="F198" s="356" t="n"/>
      <c r="G198" s="357" t="n"/>
      <c r="H198" s="358" t="n"/>
      <c r="I198" s="359" t="n"/>
      <c r="J198" s="297">
        <f>G198+H198+I198</f>
        <v/>
      </c>
      <c r="K198" s="297">
        <f>J198/E198</f>
        <v/>
      </c>
      <c r="L198" s="297">
        <f>J198/F198</f>
        <v/>
      </c>
      <c r="M198" s="73" t="n"/>
    </row>
    <row r="199" hidden="1" ht="15" customHeight="1" s="272">
      <c r="A199" s="287" t="n"/>
      <c r="B199" s="287" t="n"/>
      <c r="C199" s="287" t="n"/>
      <c r="D199" s="208" t="inlineStr">
        <is>
          <t>5月</t>
        </is>
      </c>
      <c r="E199" s="360" t="n"/>
      <c r="F199" s="361" t="n"/>
      <c r="G199" s="362" t="n"/>
      <c r="H199" s="363" t="n"/>
      <c r="I199" s="364" t="n"/>
      <c r="J199" s="304">
        <f>G199+H199+I199</f>
        <v/>
      </c>
      <c r="K199" s="304">
        <f>J199/E199</f>
        <v/>
      </c>
      <c r="L199" s="304">
        <f>J199/F199</f>
        <v/>
      </c>
      <c r="M199" s="74" t="n"/>
    </row>
    <row r="200" hidden="1" ht="15" customHeight="1" s="272">
      <c r="A200" s="287" t="n"/>
      <c r="B200" s="287" t="n"/>
      <c r="C200" s="287" t="n"/>
      <c r="D200" s="208" t="inlineStr">
        <is>
          <t>6月</t>
        </is>
      </c>
      <c r="E200" s="360" t="n"/>
      <c r="F200" s="361" t="n"/>
      <c r="G200" s="362" t="n"/>
      <c r="H200" s="363" t="n"/>
      <c r="I200" s="364" t="n"/>
      <c r="J200" s="304">
        <f>G200+H200+I200</f>
        <v/>
      </c>
      <c r="K200" s="304">
        <f>J200/E200</f>
        <v/>
      </c>
      <c r="L200" s="304">
        <f>J200/F200</f>
        <v/>
      </c>
      <c r="M200" s="74" t="n"/>
    </row>
    <row r="201" hidden="1" ht="15" customHeight="1" s="272">
      <c r="A201" s="287" t="n"/>
      <c r="B201" s="287" t="n"/>
      <c r="C201" s="287" t="n"/>
      <c r="D201" s="208" t="inlineStr">
        <is>
          <t>7月</t>
        </is>
      </c>
      <c r="E201" s="360" t="n"/>
      <c r="F201" s="361" t="n"/>
      <c r="G201" s="362" t="n"/>
      <c r="H201" s="363" t="n"/>
      <c r="I201" s="364" t="n"/>
      <c r="J201" s="304">
        <f>G201+H201+I201</f>
        <v/>
      </c>
      <c r="K201" s="304">
        <f>J201/E201</f>
        <v/>
      </c>
      <c r="L201" s="304">
        <f>J201/F201</f>
        <v/>
      </c>
      <c r="M201" s="74" t="n"/>
    </row>
    <row r="202" hidden="1" ht="15" customHeight="1" s="272">
      <c r="A202" s="287" t="n"/>
      <c r="B202" s="287" t="n"/>
      <c r="C202" s="287" t="n"/>
      <c r="D202" s="208" t="inlineStr">
        <is>
          <t>8月</t>
        </is>
      </c>
      <c r="E202" s="360" t="n"/>
      <c r="F202" s="361" t="n"/>
      <c r="G202" s="362" t="n"/>
      <c r="H202" s="363" t="n"/>
      <c r="I202" s="364" t="n"/>
      <c r="J202" s="304">
        <f>G202+H202+I202</f>
        <v/>
      </c>
      <c r="K202" s="304">
        <f>J202/E202</f>
        <v/>
      </c>
      <c r="L202" s="304">
        <f>J202/F202</f>
        <v/>
      </c>
      <c r="M202" s="74" t="n"/>
    </row>
    <row r="203" hidden="1" ht="15" customHeight="1" s="272">
      <c r="A203" s="287" t="n"/>
      <c r="B203" s="287" t="n"/>
      <c r="C203" s="287" t="n"/>
      <c r="D203" s="208" t="inlineStr">
        <is>
          <t>9月</t>
        </is>
      </c>
      <c r="E203" s="360" t="n"/>
      <c r="F203" s="361" t="n"/>
      <c r="G203" s="362" t="n"/>
      <c r="H203" s="363" t="n"/>
      <c r="I203" s="364" t="n"/>
      <c r="J203" s="304">
        <f>G203+H203+I203</f>
        <v/>
      </c>
      <c r="K203" s="304">
        <f>J203/E203</f>
        <v/>
      </c>
      <c r="L203" s="304">
        <f>J203/F203</f>
        <v/>
      </c>
      <c r="M203" s="74" t="n"/>
    </row>
    <row r="204" hidden="1" ht="15" customHeight="1" s="272">
      <c r="A204" s="287" t="n"/>
      <c r="B204" s="287" t="n"/>
      <c r="C204" s="287" t="n"/>
      <c r="D204" s="208" t="inlineStr">
        <is>
          <t>10月</t>
        </is>
      </c>
      <c r="E204" s="360" t="n"/>
      <c r="F204" s="361" t="n"/>
      <c r="G204" s="362" t="n"/>
      <c r="H204" s="363" t="n"/>
      <c r="I204" s="364" t="n"/>
      <c r="J204" s="304">
        <f>G204+H204+I204</f>
        <v/>
      </c>
      <c r="K204" s="304">
        <f>J204/E204</f>
        <v/>
      </c>
      <c r="L204" s="304">
        <f>J204/F204</f>
        <v/>
      </c>
      <c r="M204" s="74" t="n"/>
    </row>
    <row r="205" hidden="1" ht="15" customHeight="1" s="272">
      <c r="A205" s="287" t="n"/>
      <c r="B205" s="287" t="n"/>
      <c r="C205" s="287" t="n"/>
      <c r="D205" s="208" t="inlineStr">
        <is>
          <t>11月</t>
        </is>
      </c>
      <c r="E205" s="360" t="n"/>
      <c r="F205" s="361" t="n"/>
      <c r="G205" s="362" t="n"/>
      <c r="H205" s="363" t="n"/>
      <c r="I205" s="364" t="n"/>
      <c r="J205" s="304">
        <f>G205+H205+I205</f>
        <v/>
      </c>
      <c r="K205" s="304">
        <f>J205/E205</f>
        <v/>
      </c>
      <c r="L205" s="304">
        <f>J205/F205</f>
        <v/>
      </c>
      <c r="M205" s="74" t="n"/>
    </row>
    <row r="206" hidden="1" ht="15" customHeight="1" s="272">
      <c r="A206" s="287" t="n"/>
      <c r="B206" s="287" t="n"/>
      <c r="C206" s="287" t="n"/>
      <c r="D206" s="208" t="inlineStr">
        <is>
          <t>12月</t>
        </is>
      </c>
      <c r="E206" s="360" t="n"/>
      <c r="F206" s="361" t="n"/>
      <c r="G206" s="362" t="n"/>
      <c r="H206" s="363" t="n"/>
      <c r="I206" s="364" t="n"/>
      <c r="J206" s="304">
        <f>G206+H206+I206</f>
        <v/>
      </c>
      <c r="K206" s="304">
        <f>J206/E206</f>
        <v/>
      </c>
      <c r="L206" s="304">
        <f>J206/F206</f>
        <v/>
      </c>
      <c r="M206" s="74" t="n"/>
    </row>
    <row r="207" hidden="1" ht="15" customHeight="1" s="272">
      <c r="A207" s="287" t="n"/>
      <c r="B207" s="287" t="n"/>
      <c r="C207" s="287" t="n"/>
      <c r="D207" s="208" t="inlineStr">
        <is>
          <t>1月</t>
        </is>
      </c>
      <c r="E207" s="360" t="n"/>
      <c r="F207" s="361" t="n"/>
      <c r="G207" s="362" t="n"/>
      <c r="H207" s="363" t="n"/>
      <c r="I207" s="364" t="n"/>
      <c r="J207" s="304">
        <f>G207+H207+I207</f>
        <v/>
      </c>
      <c r="K207" s="304">
        <f>J207/E207</f>
        <v/>
      </c>
      <c r="L207" s="304">
        <f>J207/F207</f>
        <v/>
      </c>
      <c r="M207" s="74" t="n"/>
    </row>
    <row r="208" hidden="1" ht="15" customHeight="1" s="272">
      <c r="A208" s="287" t="n"/>
      <c r="B208" s="287" t="n"/>
      <c r="C208" s="287" t="n"/>
      <c r="D208" s="208" t="inlineStr">
        <is>
          <t>2月</t>
        </is>
      </c>
      <c r="E208" s="360" t="n"/>
      <c r="F208" s="361" t="n"/>
      <c r="G208" s="362" t="n"/>
      <c r="H208" s="363" t="n"/>
      <c r="I208" s="364" t="n"/>
      <c r="J208" s="304">
        <f>G208+H208+I208</f>
        <v/>
      </c>
      <c r="K208" s="304">
        <f>J208/E208</f>
        <v/>
      </c>
      <c r="L208" s="304">
        <f>J208/F208</f>
        <v/>
      </c>
      <c r="M208" s="74" t="n"/>
    </row>
    <row r="209" hidden="1" ht="15" customHeight="1" s="272">
      <c r="A209" s="290" t="n"/>
      <c r="B209" s="290" t="n"/>
      <c r="C209" s="290" t="n"/>
      <c r="D209" s="211" t="inlineStr">
        <is>
          <t>3月</t>
        </is>
      </c>
      <c r="E209" s="365" t="n"/>
      <c r="F209" s="366" t="n"/>
      <c r="G209" s="367" t="n"/>
      <c r="H209" s="368" t="n"/>
      <c r="I209" s="369" t="n"/>
      <c r="J209" s="311">
        <f>G209+H209+I209</f>
        <v/>
      </c>
      <c r="K209" s="311">
        <f>J209/E209</f>
        <v/>
      </c>
      <c r="L209" s="311">
        <f>J209/F209</f>
        <v/>
      </c>
      <c r="M209" s="75" t="n"/>
    </row>
    <row r="210" hidden="1" ht="15" customHeight="1" s="272">
      <c r="A210" s="291" t="n">
        <v>18</v>
      </c>
      <c r="B210" s="84" t="n"/>
      <c r="C210" s="84" t="n"/>
      <c r="D210" s="205" t="inlineStr">
        <is>
          <t>4月</t>
        </is>
      </c>
      <c r="E210" s="355" t="n"/>
      <c r="F210" s="356" t="n"/>
      <c r="G210" s="357" t="n"/>
      <c r="H210" s="358" t="n"/>
      <c r="I210" s="359" t="n"/>
      <c r="J210" s="297">
        <f>G210+H210+I210</f>
        <v/>
      </c>
      <c r="K210" s="297">
        <f>J210/E210</f>
        <v/>
      </c>
      <c r="L210" s="297">
        <f>J210/F210</f>
        <v/>
      </c>
      <c r="M210" s="73" t="n"/>
    </row>
    <row r="211" hidden="1" ht="15" customHeight="1" s="272">
      <c r="A211" s="287" t="n"/>
      <c r="B211" s="287" t="n"/>
      <c r="C211" s="287" t="n"/>
      <c r="D211" s="208" t="inlineStr">
        <is>
          <t>5月</t>
        </is>
      </c>
      <c r="E211" s="360" t="n"/>
      <c r="F211" s="361" t="n"/>
      <c r="G211" s="362" t="n"/>
      <c r="H211" s="363" t="n"/>
      <c r="I211" s="364" t="n"/>
      <c r="J211" s="304">
        <f>G211+H211+I211</f>
        <v/>
      </c>
      <c r="K211" s="304">
        <f>J211/E211</f>
        <v/>
      </c>
      <c r="L211" s="304">
        <f>J211/F211</f>
        <v/>
      </c>
      <c r="M211" s="74" t="n"/>
    </row>
    <row r="212" hidden="1" ht="15" customHeight="1" s="272">
      <c r="A212" s="287" t="n"/>
      <c r="B212" s="287" t="n"/>
      <c r="C212" s="287" t="n"/>
      <c r="D212" s="208" t="inlineStr">
        <is>
          <t>6月</t>
        </is>
      </c>
      <c r="E212" s="360" t="n"/>
      <c r="F212" s="361" t="n"/>
      <c r="G212" s="362" t="n"/>
      <c r="H212" s="363" t="n"/>
      <c r="I212" s="364" t="n"/>
      <c r="J212" s="304">
        <f>G212+H212+I212</f>
        <v/>
      </c>
      <c r="K212" s="304">
        <f>J212/E212</f>
        <v/>
      </c>
      <c r="L212" s="304">
        <f>J212/F212</f>
        <v/>
      </c>
      <c r="M212" s="74" t="n"/>
    </row>
    <row r="213" hidden="1" ht="15" customHeight="1" s="272">
      <c r="A213" s="287" t="n"/>
      <c r="B213" s="287" t="n"/>
      <c r="C213" s="287" t="n"/>
      <c r="D213" s="208" t="inlineStr">
        <is>
          <t>7月</t>
        </is>
      </c>
      <c r="E213" s="360" t="n"/>
      <c r="F213" s="361" t="n"/>
      <c r="G213" s="362" t="n"/>
      <c r="H213" s="363" t="n"/>
      <c r="I213" s="364" t="n"/>
      <c r="J213" s="304">
        <f>G213+H213+I213</f>
        <v/>
      </c>
      <c r="K213" s="304">
        <f>J213/E213</f>
        <v/>
      </c>
      <c r="L213" s="304">
        <f>J213/F213</f>
        <v/>
      </c>
      <c r="M213" s="74" t="n"/>
    </row>
    <row r="214" hidden="1" ht="15" customHeight="1" s="272">
      <c r="A214" s="287" t="n"/>
      <c r="B214" s="287" t="n"/>
      <c r="C214" s="287" t="n"/>
      <c r="D214" s="208" t="inlineStr">
        <is>
          <t>8月</t>
        </is>
      </c>
      <c r="E214" s="360" t="n"/>
      <c r="F214" s="361" t="n"/>
      <c r="G214" s="362" t="n"/>
      <c r="H214" s="363" t="n"/>
      <c r="I214" s="364" t="n"/>
      <c r="J214" s="304">
        <f>G214+H214+I214</f>
        <v/>
      </c>
      <c r="K214" s="304">
        <f>J214/E214</f>
        <v/>
      </c>
      <c r="L214" s="304">
        <f>J214/F214</f>
        <v/>
      </c>
      <c r="M214" s="74" t="n"/>
    </row>
    <row r="215" hidden="1" ht="15" customHeight="1" s="272">
      <c r="A215" s="287" t="n"/>
      <c r="B215" s="287" t="n"/>
      <c r="C215" s="287" t="n"/>
      <c r="D215" s="208" t="inlineStr">
        <is>
          <t>9月</t>
        </is>
      </c>
      <c r="E215" s="360" t="n"/>
      <c r="F215" s="361" t="n"/>
      <c r="G215" s="362" t="n"/>
      <c r="H215" s="363" t="n"/>
      <c r="I215" s="364" t="n"/>
      <c r="J215" s="304">
        <f>G215+H215+I215</f>
        <v/>
      </c>
      <c r="K215" s="304">
        <f>J215/E215</f>
        <v/>
      </c>
      <c r="L215" s="304">
        <f>J215/F215</f>
        <v/>
      </c>
      <c r="M215" s="74" t="n"/>
    </row>
    <row r="216" hidden="1" ht="15" customHeight="1" s="272">
      <c r="A216" s="287" t="n"/>
      <c r="B216" s="287" t="n"/>
      <c r="C216" s="287" t="n"/>
      <c r="D216" s="208" t="inlineStr">
        <is>
          <t>10月</t>
        </is>
      </c>
      <c r="E216" s="360" t="n"/>
      <c r="F216" s="361" t="n"/>
      <c r="G216" s="362" t="n"/>
      <c r="H216" s="363" t="n"/>
      <c r="I216" s="364" t="n"/>
      <c r="J216" s="304">
        <f>G216+H216+I216</f>
        <v/>
      </c>
      <c r="K216" s="304">
        <f>J216/E216</f>
        <v/>
      </c>
      <c r="L216" s="304">
        <f>J216/F216</f>
        <v/>
      </c>
      <c r="M216" s="74" t="n"/>
    </row>
    <row r="217" hidden="1" ht="15" customHeight="1" s="272">
      <c r="A217" s="287" t="n"/>
      <c r="B217" s="287" t="n"/>
      <c r="C217" s="287" t="n"/>
      <c r="D217" s="208" t="inlineStr">
        <is>
          <t>11月</t>
        </is>
      </c>
      <c r="E217" s="360" t="n"/>
      <c r="F217" s="361" t="n"/>
      <c r="G217" s="362" t="n"/>
      <c r="H217" s="363" t="n"/>
      <c r="I217" s="364" t="n"/>
      <c r="J217" s="304">
        <f>G217+H217+I217</f>
        <v/>
      </c>
      <c r="K217" s="304">
        <f>J217/E217</f>
        <v/>
      </c>
      <c r="L217" s="304">
        <f>J217/F217</f>
        <v/>
      </c>
      <c r="M217" s="74" t="n"/>
    </row>
    <row r="218" hidden="1" ht="15" customHeight="1" s="272">
      <c r="A218" s="287" t="n"/>
      <c r="B218" s="287" t="n"/>
      <c r="C218" s="287" t="n"/>
      <c r="D218" s="208" t="inlineStr">
        <is>
          <t>12月</t>
        </is>
      </c>
      <c r="E218" s="360" t="n"/>
      <c r="F218" s="361" t="n"/>
      <c r="G218" s="362" t="n"/>
      <c r="H218" s="363" t="n"/>
      <c r="I218" s="364" t="n"/>
      <c r="J218" s="304">
        <f>G218+H218+I218</f>
        <v/>
      </c>
      <c r="K218" s="304">
        <f>J218/E218</f>
        <v/>
      </c>
      <c r="L218" s="304">
        <f>J218/F218</f>
        <v/>
      </c>
      <c r="M218" s="74" t="n"/>
    </row>
    <row r="219" hidden="1" ht="15" customHeight="1" s="272">
      <c r="A219" s="287" t="n"/>
      <c r="B219" s="287" t="n"/>
      <c r="C219" s="287" t="n"/>
      <c r="D219" s="208" t="inlineStr">
        <is>
          <t>1月</t>
        </is>
      </c>
      <c r="E219" s="360" t="n"/>
      <c r="F219" s="361" t="n"/>
      <c r="G219" s="362" t="n"/>
      <c r="H219" s="363" t="n"/>
      <c r="I219" s="364" t="n"/>
      <c r="J219" s="304">
        <f>G219+H219+I219</f>
        <v/>
      </c>
      <c r="K219" s="304">
        <f>J219/E219</f>
        <v/>
      </c>
      <c r="L219" s="304">
        <f>J219/F219</f>
        <v/>
      </c>
      <c r="M219" s="74" t="n"/>
    </row>
    <row r="220" hidden="1" ht="15" customHeight="1" s="272">
      <c r="A220" s="287" t="n"/>
      <c r="B220" s="287" t="n"/>
      <c r="C220" s="287" t="n"/>
      <c r="D220" s="208" t="inlineStr">
        <is>
          <t>2月</t>
        </is>
      </c>
      <c r="E220" s="360" t="n"/>
      <c r="F220" s="361" t="n"/>
      <c r="G220" s="362" t="n"/>
      <c r="H220" s="363" t="n"/>
      <c r="I220" s="364" t="n"/>
      <c r="J220" s="304">
        <f>G220+H220+I220</f>
        <v/>
      </c>
      <c r="K220" s="304">
        <f>J220/E220</f>
        <v/>
      </c>
      <c r="L220" s="304">
        <f>J220/F220</f>
        <v/>
      </c>
      <c r="M220" s="74" t="n"/>
    </row>
    <row r="221" hidden="1" ht="15" customHeight="1" s="272">
      <c r="A221" s="290" t="n"/>
      <c r="B221" s="290" t="n"/>
      <c r="C221" s="290" t="n"/>
      <c r="D221" s="211" t="inlineStr">
        <is>
          <t>3月</t>
        </is>
      </c>
      <c r="E221" s="365" t="n"/>
      <c r="F221" s="366" t="n"/>
      <c r="G221" s="367" t="n"/>
      <c r="H221" s="368" t="n"/>
      <c r="I221" s="369" t="n"/>
      <c r="J221" s="312">
        <f>G221+H221+I221</f>
        <v/>
      </c>
      <c r="K221" s="312">
        <f>J221/E221</f>
        <v/>
      </c>
      <c r="L221" s="312">
        <f>J221/F221</f>
        <v/>
      </c>
      <c r="M221" s="75" t="n"/>
    </row>
    <row r="222" hidden="1" ht="15" customHeight="1" s="272">
      <c r="A222" s="291" t="n">
        <v>19</v>
      </c>
      <c r="B222" s="84" t="n"/>
      <c r="C222" s="84" t="n"/>
      <c r="D222" s="205" t="inlineStr">
        <is>
          <t>4月</t>
        </is>
      </c>
      <c r="E222" s="355" t="n"/>
      <c r="F222" s="356" t="n"/>
      <c r="G222" s="357" t="n"/>
      <c r="H222" s="358" t="n"/>
      <c r="I222" s="359" t="n"/>
      <c r="J222" s="297">
        <f>G222+H222+I222</f>
        <v/>
      </c>
      <c r="K222" s="297">
        <f>J222/E222</f>
        <v/>
      </c>
      <c r="L222" s="297">
        <f>J222/F222</f>
        <v/>
      </c>
      <c r="M222" s="73" t="n"/>
    </row>
    <row r="223" hidden="1" ht="15" customHeight="1" s="272">
      <c r="A223" s="287" t="n"/>
      <c r="B223" s="287" t="n"/>
      <c r="C223" s="287" t="n"/>
      <c r="D223" s="208" t="inlineStr">
        <is>
          <t>5月</t>
        </is>
      </c>
      <c r="E223" s="360" t="n"/>
      <c r="F223" s="361" t="n"/>
      <c r="G223" s="362" t="n"/>
      <c r="H223" s="363" t="n"/>
      <c r="I223" s="364" t="n"/>
      <c r="J223" s="304">
        <f>G223+H223+I223</f>
        <v/>
      </c>
      <c r="K223" s="304">
        <f>J223/E223</f>
        <v/>
      </c>
      <c r="L223" s="304">
        <f>J223/F223</f>
        <v/>
      </c>
      <c r="M223" s="74" t="n"/>
    </row>
    <row r="224" hidden="1" ht="15" customHeight="1" s="272">
      <c r="A224" s="287" t="n"/>
      <c r="B224" s="287" t="n"/>
      <c r="C224" s="287" t="n"/>
      <c r="D224" s="208" t="inlineStr">
        <is>
          <t>6月</t>
        </is>
      </c>
      <c r="E224" s="360" t="n"/>
      <c r="F224" s="361" t="n"/>
      <c r="G224" s="362" t="n"/>
      <c r="H224" s="363" t="n"/>
      <c r="I224" s="364" t="n"/>
      <c r="J224" s="304">
        <f>G224+H224+I224</f>
        <v/>
      </c>
      <c r="K224" s="304">
        <f>J224/E224</f>
        <v/>
      </c>
      <c r="L224" s="304">
        <f>J224/F224</f>
        <v/>
      </c>
      <c r="M224" s="74" t="n"/>
    </row>
    <row r="225" hidden="1" ht="15" customHeight="1" s="272">
      <c r="A225" s="287" t="n"/>
      <c r="B225" s="287" t="n"/>
      <c r="C225" s="287" t="n"/>
      <c r="D225" s="208" t="inlineStr">
        <is>
          <t>7月</t>
        </is>
      </c>
      <c r="E225" s="360" t="n"/>
      <c r="F225" s="361" t="n"/>
      <c r="G225" s="362" t="n"/>
      <c r="H225" s="363" t="n"/>
      <c r="I225" s="364" t="n"/>
      <c r="J225" s="304">
        <f>G225+H225+I225</f>
        <v/>
      </c>
      <c r="K225" s="304">
        <f>J225/E225</f>
        <v/>
      </c>
      <c r="L225" s="304">
        <f>J225/F225</f>
        <v/>
      </c>
      <c r="M225" s="74" t="n"/>
    </row>
    <row r="226" hidden="1" ht="15" customHeight="1" s="272">
      <c r="A226" s="287" t="n"/>
      <c r="B226" s="287" t="n"/>
      <c r="C226" s="287" t="n"/>
      <c r="D226" s="208" t="inlineStr">
        <is>
          <t>8月</t>
        </is>
      </c>
      <c r="E226" s="360" t="n"/>
      <c r="F226" s="361" t="n"/>
      <c r="G226" s="362" t="n"/>
      <c r="H226" s="363" t="n"/>
      <c r="I226" s="364" t="n"/>
      <c r="J226" s="304">
        <f>G226+H226+I226</f>
        <v/>
      </c>
      <c r="K226" s="304">
        <f>J226/E226</f>
        <v/>
      </c>
      <c r="L226" s="304">
        <f>J226/F226</f>
        <v/>
      </c>
      <c r="M226" s="74" t="n"/>
    </row>
    <row r="227" hidden="1" ht="15" customHeight="1" s="272">
      <c r="A227" s="287" t="n"/>
      <c r="B227" s="287" t="n"/>
      <c r="C227" s="287" t="n"/>
      <c r="D227" s="208" t="inlineStr">
        <is>
          <t>9月</t>
        </is>
      </c>
      <c r="E227" s="360" t="n"/>
      <c r="F227" s="361" t="n"/>
      <c r="G227" s="362" t="n"/>
      <c r="H227" s="363" t="n"/>
      <c r="I227" s="364" t="n"/>
      <c r="J227" s="304">
        <f>G227+H227+I227</f>
        <v/>
      </c>
      <c r="K227" s="304">
        <f>J227/E227</f>
        <v/>
      </c>
      <c r="L227" s="304">
        <f>J227/F227</f>
        <v/>
      </c>
      <c r="M227" s="74" t="n"/>
    </row>
    <row r="228" hidden="1" ht="15" customHeight="1" s="272">
      <c r="A228" s="287" t="n"/>
      <c r="B228" s="287" t="n"/>
      <c r="C228" s="287" t="n"/>
      <c r="D228" s="208" t="inlineStr">
        <is>
          <t>10月</t>
        </is>
      </c>
      <c r="E228" s="360" t="n"/>
      <c r="F228" s="361" t="n"/>
      <c r="G228" s="362" t="n"/>
      <c r="H228" s="363" t="n"/>
      <c r="I228" s="364" t="n"/>
      <c r="J228" s="304">
        <f>G228+H228+I228</f>
        <v/>
      </c>
      <c r="K228" s="304">
        <f>J228/E228</f>
        <v/>
      </c>
      <c r="L228" s="304">
        <f>J228/F228</f>
        <v/>
      </c>
      <c r="M228" s="74" t="n"/>
    </row>
    <row r="229" hidden="1" ht="15" customHeight="1" s="272">
      <c r="A229" s="287" t="n"/>
      <c r="B229" s="287" t="n"/>
      <c r="C229" s="287" t="n"/>
      <c r="D229" s="208" t="inlineStr">
        <is>
          <t>11月</t>
        </is>
      </c>
      <c r="E229" s="360" t="n"/>
      <c r="F229" s="361" t="n"/>
      <c r="G229" s="362" t="n"/>
      <c r="H229" s="363" t="n"/>
      <c r="I229" s="364" t="n"/>
      <c r="J229" s="304">
        <f>G229+H229+I229</f>
        <v/>
      </c>
      <c r="K229" s="304">
        <f>J229/E229</f>
        <v/>
      </c>
      <c r="L229" s="304">
        <f>J229/F229</f>
        <v/>
      </c>
      <c r="M229" s="74" t="n"/>
    </row>
    <row r="230" hidden="1" ht="15" customHeight="1" s="272">
      <c r="A230" s="287" t="n"/>
      <c r="B230" s="287" t="n"/>
      <c r="C230" s="287" t="n"/>
      <c r="D230" s="208" t="inlineStr">
        <is>
          <t>12月</t>
        </is>
      </c>
      <c r="E230" s="360" t="n"/>
      <c r="F230" s="361" t="n"/>
      <c r="G230" s="362" t="n"/>
      <c r="H230" s="363" t="n"/>
      <c r="I230" s="364" t="n"/>
      <c r="J230" s="304">
        <f>G230+H230+I230</f>
        <v/>
      </c>
      <c r="K230" s="304">
        <f>J230/E230</f>
        <v/>
      </c>
      <c r="L230" s="304">
        <f>J230/F230</f>
        <v/>
      </c>
      <c r="M230" s="74" t="n"/>
    </row>
    <row r="231" hidden="1" ht="15" customHeight="1" s="272">
      <c r="A231" s="287" t="n"/>
      <c r="B231" s="287" t="n"/>
      <c r="C231" s="287" t="n"/>
      <c r="D231" s="208" t="inlineStr">
        <is>
          <t>1月</t>
        </is>
      </c>
      <c r="E231" s="360" t="n"/>
      <c r="F231" s="361" t="n"/>
      <c r="G231" s="362" t="n"/>
      <c r="H231" s="363" t="n"/>
      <c r="I231" s="364" t="n"/>
      <c r="J231" s="304">
        <f>G231+H231+I231</f>
        <v/>
      </c>
      <c r="K231" s="304">
        <f>J231/E231</f>
        <v/>
      </c>
      <c r="L231" s="304">
        <f>J231/F231</f>
        <v/>
      </c>
      <c r="M231" s="74" t="n"/>
    </row>
    <row r="232" hidden="1" ht="15" customHeight="1" s="272">
      <c r="A232" s="287" t="n"/>
      <c r="B232" s="287" t="n"/>
      <c r="C232" s="287" t="n"/>
      <c r="D232" s="208" t="inlineStr">
        <is>
          <t>2月</t>
        </is>
      </c>
      <c r="E232" s="360" t="n"/>
      <c r="F232" s="361" t="n"/>
      <c r="G232" s="362" t="n"/>
      <c r="H232" s="363" t="n"/>
      <c r="I232" s="364" t="n"/>
      <c r="J232" s="304">
        <f>G232+H232+I232</f>
        <v/>
      </c>
      <c r="K232" s="304">
        <f>J232/E232</f>
        <v/>
      </c>
      <c r="L232" s="304">
        <f>J232/F232</f>
        <v/>
      </c>
      <c r="M232" s="74" t="n"/>
    </row>
    <row r="233" hidden="1" ht="15" customHeight="1" s="272">
      <c r="A233" s="290" t="n"/>
      <c r="B233" s="290" t="n"/>
      <c r="C233" s="290" t="n"/>
      <c r="D233" s="211" t="inlineStr">
        <is>
          <t>3月</t>
        </is>
      </c>
      <c r="E233" s="365" t="n"/>
      <c r="F233" s="366" t="n"/>
      <c r="G233" s="367" t="n"/>
      <c r="H233" s="368" t="n"/>
      <c r="I233" s="369" t="n"/>
      <c r="J233" s="311">
        <f>G233+H233+I233</f>
        <v/>
      </c>
      <c r="K233" s="311">
        <f>J233/E233</f>
        <v/>
      </c>
      <c r="L233" s="311">
        <f>J233/F233</f>
        <v/>
      </c>
      <c r="M233" s="75" t="n"/>
    </row>
    <row r="234" hidden="1" ht="15" customHeight="1" s="272">
      <c r="A234" s="291" t="n">
        <v>20</v>
      </c>
      <c r="B234" s="84" t="n"/>
      <c r="C234" s="84" t="n"/>
      <c r="D234" s="205" t="inlineStr">
        <is>
          <t>4月</t>
        </is>
      </c>
      <c r="E234" s="355" t="n"/>
      <c r="F234" s="356" t="n"/>
      <c r="G234" s="357" t="n"/>
      <c r="H234" s="358" t="n"/>
      <c r="I234" s="359" t="n"/>
      <c r="J234" s="297">
        <f>G234+H234+I234</f>
        <v/>
      </c>
      <c r="K234" s="297">
        <f>J234/E234</f>
        <v/>
      </c>
      <c r="L234" s="297">
        <f>J234/F234</f>
        <v/>
      </c>
      <c r="M234" s="73" t="n"/>
    </row>
    <row r="235" hidden="1" ht="15" customHeight="1" s="272">
      <c r="A235" s="287" t="n"/>
      <c r="B235" s="287" t="n"/>
      <c r="C235" s="287" t="n"/>
      <c r="D235" s="208" t="inlineStr">
        <is>
          <t>5月</t>
        </is>
      </c>
      <c r="E235" s="360" t="n"/>
      <c r="F235" s="361" t="n"/>
      <c r="G235" s="362" t="n"/>
      <c r="H235" s="363" t="n"/>
      <c r="I235" s="364" t="n"/>
      <c r="J235" s="304">
        <f>G235+H235+I235</f>
        <v/>
      </c>
      <c r="K235" s="304">
        <f>J235/E235</f>
        <v/>
      </c>
      <c r="L235" s="304">
        <f>J235/F235</f>
        <v/>
      </c>
      <c r="M235" s="74" t="n"/>
    </row>
    <row r="236" hidden="1" ht="15" customHeight="1" s="272">
      <c r="A236" s="287" t="n"/>
      <c r="B236" s="287" t="n"/>
      <c r="C236" s="287" t="n"/>
      <c r="D236" s="208" t="inlineStr">
        <is>
          <t>6月</t>
        </is>
      </c>
      <c r="E236" s="360" t="n"/>
      <c r="F236" s="361" t="n"/>
      <c r="G236" s="362" t="n"/>
      <c r="H236" s="363" t="n"/>
      <c r="I236" s="364" t="n"/>
      <c r="J236" s="304">
        <f>G236+H236+I236</f>
        <v/>
      </c>
      <c r="K236" s="304">
        <f>J236/E236</f>
        <v/>
      </c>
      <c r="L236" s="304">
        <f>J236/F236</f>
        <v/>
      </c>
      <c r="M236" s="74" t="n"/>
    </row>
    <row r="237" hidden="1" ht="15" customHeight="1" s="272">
      <c r="A237" s="287" t="n"/>
      <c r="B237" s="287" t="n"/>
      <c r="C237" s="287" t="n"/>
      <c r="D237" s="208" t="inlineStr">
        <is>
          <t>7月</t>
        </is>
      </c>
      <c r="E237" s="360" t="n"/>
      <c r="F237" s="361" t="n"/>
      <c r="G237" s="362" t="n"/>
      <c r="H237" s="363" t="n"/>
      <c r="I237" s="364" t="n"/>
      <c r="J237" s="304">
        <f>G237+H237+I237</f>
        <v/>
      </c>
      <c r="K237" s="304">
        <f>J237/E237</f>
        <v/>
      </c>
      <c r="L237" s="304">
        <f>J237/F237</f>
        <v/>
      </c>
      <c r="M237" s="74" t="n"/>
    </row>
    <row r="238" hidden="1" ht="15" customHeight="1" s="272">
      <c r="A238" s="287" t="n"/>
      <c r="B238" s="287" t="n"/>
      <c r="C238" s="287" t="n"/>
      <c r="D238" s="208" t="inlineStr">
        <is>
          <t>8月</t>
        </is>
      </c>
      <c r="E238" s="360" t="n"/>
      <c r="F238" s="361" t="n"/>
      <c r="G238" s="362" t="n"/>
      <c r="H238" s="363" t="n"/>
      <c r="I238" s="364" t="n"/>
      <c r="J238" s="304">
        <f>G238+H238+I238</f>
        <v/>
      </c>
      <c r="K238" s="304">
        <f>J238/E238</f>
        <v/>
      </c>
      <c r="L238" s="304">
        <f>J238/F238</f>
        <v/>
      </c>
      <c r="M238" s="74" t="n"/>
    </row>
    <row r="239" hidden="1" ht="15" customHeight="1" s="272">
      <c r="A239" s="287" t="n"/>
      <c r="B239" s="287" t="n"/>
      <c r="C239" s="287" t="n"/>
      <c r="D239" s="208" t="inlineStr">
        <is>
          <t>9月</t>
        </is>
      </c>
      <c r="E239" s="360" t="n"/>
      <c r="F239" s="361" t="n"/>
      <c r="G239" s="362" t="n"/>
      <c r="H239" s="363" t="n"/>
      <c r="I239" s="364" t="n"/>
      <c r="J239" s="304">
        <f>G239+H239+I239</f>
        <v/>
      </c>
      <c r="K239" s="304">
        <f>J239/E239</f>
        <v/>
      </c>
      <c r="L239" s="304">
        <f>J239/F239</f>
        <v/>
      </c>
      <c r="M239" s="74" t="n"/>
    </row>
    <row r="240" hidden="1" ht="15" customHeight="1" s="272">
      <c r="A240" s="287" t="n"/>
      <c r="B240" s="287" t="n"/>
      <c r="C240" s="287" t="n"/>
      <c r="D240" s="208" t="inlineStr">
        <is>
          <t>10月</t>
        </is>
      </c>
      <c r="E240" s="360" t="n"/>
      <c r="F240" s="361" t="n"/>
      <c r="G240" s="362" t="n"/>
      <c r="H240" s="363" t="n"/>
      <c r="I240" s="364" t="n"/>
      <c r="J240" s="304">
        <f>G240+H240+I240</f>
        <v/>
      </c>
      <c r="K240" s="304">
        <f>J240/E240</f>
        <v/>
      </c>
      <c r="L240" s="304">
        <f>J240/F240</f>
        <v/>
      </c>
      <c r="M240" s="74" t="n"/>
    </row>
    <row r="241" hidden="1" ht="15" customHeight="1" s="272">
      <c r="A241" s="287" t="n"/>
      <c r="B241" s="287" t="n"/>
      <c r="C241" s="287" t="n"/>
      <c r="D241" s="208" t="inlineStr">
        <is>
          <t>11月</t>
        </is>
      </c>
      <c r="E241" s="360" t="n"/>
      <c r="F241" s="361" t="n"/>
      <c r="G241" s="362" t="n"/>
      <c r="H241" s="363" t="n"/>
      <c r="I241" s="364" t="n"/>
      <c r="J241" s="304">
        <f>G241+H241+I241</f>
        <v/>
      </c>
      <c r="K241" s="304">
        <f>J241/E241</f>
        <v/>
      </c>
      <c r="L241" s="304">
        <f>J241/F241</f>
        <v/>
      </c>
      <c r="M241" s="74" t="n"/>
    </row>
    <row r="242" hidden="1" ht="15" customHeight="1" s="272">
      <c r="A242" s="287" t="n"/>
      <c r="B242" s="287" t="n"/>
      <c r="C242" s="287" t="n"/>
      <c r="D242" s="208" t="inlineStr">
        <is>
          <t>12月</t>
        </is>
      </c>
      <c r="E242" s="360" t="n"/>
      <c r="F242" s="361" t="n"/>
      <c r="G242" s="362" t="n"/>
      <c r="H242" s="363" t="n"/>
      <c r="I242" s="364" t="n"/>
      <c r="J242" s="304">
        <f>G242+H242+I242</f>
        <v/>
      </c>
      <c r="K242" s="304">
        <f>J242/E242</f>
        <v/>
      </c>
      <c r="L242" s="304">
        <f>J242/F242</f>
        <v/>
      </c>
      <c r="M242" s="74" t="n"/>
    </row>
    <row r="243" hidden="1" ht="15" customHeight="1" s="272">
      <c r="A243" s="287" t="n"/>
      <c r="B243" s="287" t="n"/>
      <c r="C243" s="287" t="n"/>
      <c r="D243" s="208" t="inlineStr">
        <is>
          <t>1月</t>
        </is>
      </c>
      <c r="E243" s="360" t="n"/>
      <c r="F243" s="361" t="n"/>
      <c r="G243" s="362" t="n"/>
      <c r="H243" s="363" t="n"/>
      <c r="I243" s="364" t="n"/>
      <c r="J243" s="304">
        <f>G243+H243+I243</f>
        <v/>
      </c>
      <c r="K243" s="304">
        <f>J243/E243</f>
        <v/>
      </c>
      <c r="L243" s="304">
        <f>J243/F243</f>
        <v/>
      </c>
      <c r="M243" s="74" t="n"/>
    </row>
    <row r="244" hidden="1" ht="15" customHeight="1" s="272">
      <c r="A244" s="287" t="n"/>
      <c r="B244" s="287" t="n"/>
      <c r="C244" s="287" t="n"/>
      <c r="D244" s="208" t="inlineStr">
        <is>
          <t>2月</t>
        </is>
      </c>
      <c r="E244" s="360" t="n"/>
      <c r="F244" s="361" t="n"/>
      <c r="G244" s="362" t="n"/>
      <c r="H244" s="363" t="n"/>
      <c r="I244" s="364" t="n"/>
      <c r="J244" s="304">
        <f>G244+H244+I244</f>
        <v/>
      </c>
      <c r="K244" s="304">
        <f>J244/E244</f>
        <v/>
      </c>
      <c r="L244" s="304">
        <f>J244/F244</f>
        <v/>
      </c>
      <c r="M244" s="74" t="n"/>
    </row>
    <row r="245" hidden="1" ht="15" customHeight="1" s="272">
      <c r="A245" s="290" t="n"/>
      <c r="B245" s="290" t="n"/>
      <c r="C245" s="290" t="n"/>
      <c r="D245" s="211" t="inlineStr">
        <is>
          <t>3月</t>
        </is>
      </c>
      <c r="E245" s="365" t="n"/>
      <c r="F245" s="366" t="n"/>
      <c r="G245" s="367" t="n"/>
      <c r="H245" s="368" t="n"/>
      <c r="I245" s="369" t="n"/>
      <c r="J245" s="311">
        <f>G245+H245+I245</f>
        <v/>
      </c>
      <c r="K245" s="311">
        <f>J245/E245</f>
        <v/>
      </c>
      <c r="L245" s="311">
        <f>J245/F245</f>
        <v/>
      </c>
      <c r="M245" s="75" t="n"/>
    </row>
    <row r="246" hidden="1" ht="15" customHeight="1" s="272">
      <c r="A246" s="291" t="n">
        <v>21</v>
      </c>
      <c r="B246" s="84" t="n"/>
      <c r="C246" s="84" t="n"/>
      <c r="D246" s="205" t="inlineStr">
        <is>
          <t>4月</t>
        </is>
      </c>
      <c r="E246" s="355" t="n"/>
      <c r="F246" s="356" t="n"/>
      <c r="G246" s="357" t="n"/>
      <c r="H246" s="358" t="n"/>
      <c r="I246" s="359" t="n"/>
      <c r="J246" s="297">
        <f>G246+H246+I246</f>
        <v/>
      </c>
      <c r="K246" s="297">
        <f>J246/E246</f>
        <v/>
      </c>
      <c r="L246" s="297">
        <f>J246/F246</f>
        <v/>
      </c>
      <c r="M246" s="73" t="n"/>
    </row>
    <row r="247" hidden="1" ht="15" customHeight="1" s="272">
      <c r="A247" s="287" t="n"/>
      <c r="B247" s="287" t="n"/>
      <c r="C247" s="287" t="n"/>
      <c r="D247" s="208" t="inlineStr">
        <is>
          <t>5月</t>
        </is>
      </c>
      <c r="E247" s="360" t="n"/>
      <c r="F247" s="361" t="n"/>
      <c r="G247" s="362" t="n"/>
      <c r="H247" s="363" t="n"/>
      <c r="I247" s="364" t="n"/>
      <c r="J247" s="304">
        <f>G247+H247+I247</f>
        <v/>
      </c>
      <c r="K247" s="304">
        <f>J247/E247</f>
        <v/>
      </c>
      <c r="L247" s="304">
        <f>J247/F247</f>
        <v/>
      </c>
      <c r="M247" s="74" t="n"/>
    </row>
    <row r="248" hidden="1" ht="15" customHeight="1" s="272">
      <c r="A248" s="287" t="n"/>
      <c r="B248" s="287" t="n"/>
      <c r="C248" s="287" t="n"/>
      <c r="D248" s="208" t="inlineStr">
        <is>
          <t>6月</t>
        </is>
      </c>
      <c r="E248" s="360" t="n"/>
      <c r="F248" s="361" t="n"/>
      <c r="G248" s="362" t="n"/>
      <c r="H248" s="363" t="n"/>
      <c r="I248" s="364" t="n"/>
      <c r="J248" s="304">
        <f>G248+H248+I248</f>
        <v/>
      </c>
      <c r="K248" s="304">
        <f>J248/E248</f>
        <v/>
      </c>
      <c r="L248" s="304">
        <f>J248/F248</f>
        <v/>
      </c>
      <c r="M248" s="74" t="n"/>
    </row>
    <row r="249" hidden="1" ht="15" customHeight="1" s="272">
      <c r="A249" s="287" t="n"/>
      <c r="B249" s="287" t="n"/>
      <c r="C249" s="287" t="n"/>
      <c r="D249" s="208" t="inlineStr">
        <is>
          <t>7月</t>
        </is>
      </c>
      <c r="E249" s="360" t="n"/>
      <c r="F249" s="361" t="n"/>
      <c r="G249" s="362" t="n"/>
      <c r="H249" s="363" t="n"/>
      <c r="I249" s="364" t="n"/>
      <c r="J249" s="304">
        <f>G249+H249+I249</f>
        <v/>
      </c>
      <c r="K249" s="304">
        <f>J249/E249</f>
        <v/>
      </c>
      <c r="L249" s="304">
        <f>J249/F249</f>
        <v/>
      </c>
      <c r="M249" s="74" t="n"/>
    </row>
    <row r="250" hidden="1" ht="15" customHeight="1" s="272">
      <c r="A250" s="287" t="n"/>
      <c r="B250" s="287" t="n"/>
      <c r="C250" s="287" t="n"/>
      <c r="D250" s="208" t="inlineStr">
        <is>
          <t>8月</t>
        </is>
      </c>
      <c r="E250" s="360" t="n"/>
      <c r="F250" s="361" t="n"/>
      <c r="G250" s="362" t="n"/>
      <c r="H250" s="363" t="n"/>
      <c r="I250" s="364" t="n"/>
      <c r="J250" s="304">
        <f>G250+H250+I250</f>
        <v/>
      </c>
      <c r="K250" s="304">
        <f>J250/E250</f>
        <v/>
      </c>
      <c r="L250" s="304">
        <f>J250/F250</f>
        <v/>
      </c>
      <c r="M250" s="74" t="n"/>
    </row>
    <row r="251" hidden="1" ht="15" customHeight="1" s="272">
      <c r="A251" s="287" t="n"/>
      <c r="B251" s="287" t="n"/>
      <c r="C251" s="287" t="n"/>
      <c r="D251" s="208" t="inlineStr">
        <is>
          <t>9月</t>
        </is>
      </c>
      <c r="E251" s="360" t="n"/>
      <c r="F251" s="361" t="n"/>
      <c r="G251" s="362" t="n"/>
      <c r="H251" s="363" t="n"/>
      <c r="I251" s="364" t="n"/>
      <c r="J251" s="304">
        <f>G251+H251+I251</f>
        <v/>
      </c>
      <c r="K251" s="304">
        <f>J251/E251</f>
        <v/>
      </c>
      <c r="L251" s="304">
        <f>J251/F251</f>
        <v/>
      </c>
      <c r="M251" s="74" t="n"/>
    </row>
    <row r="252" hidden="1" ht="15" customHeight="1" s="272">
      <c r="A252" s="287" t="n"/>
      <c r="B252" s="287" t="n"/>
      <c r="C252" s="287" t="n"/>
      <c r="D252" s="208" t="inlineStr">
        <is>
          <t>10月</t>
        </is>
      </c>
      <c r="E252" s="360" t="n"/>
      <c r="F252" s="361" t="n"/>
      <c r="G252" s="362" t="n"/>
      <c r="H252" s="363" t="n"/>
      <c r="I252" s="364" t="n"/>
      <c r="J252" s="304">
        <f>G252+H252+I252</f>
        <v/>
      </c>
      <c r="K252" s="304">
        <f>J252/E252</f>
        <v/>
      </c>
      <c r="L252" s="304">
        <f>J252/F252</f>
        <v/>
      </c>
      <c r="M252" s="74" t="n"/>
    </row>
    <row r="253" hidden="1" ht="15" customHeight="1" s="272">
      <c r="A253" s="287" t="n"/>
      <c r="B253" s="287" t="n"/>
      <c r="C253" s="287" t="n"/>
      <c r="D253" s="208" t="inlineStr">
        <is>
          <t>11月</t>
        </is>
      </c>
      <c r="E253" s="360" t="n"/>
      <c r="F253" s="361" t="n"/>
      <c r="G253" s="362" t="n"/>
      <c r="H253" s="363" t="n"/>
      <c r="I253" s="364" t="n"/>
      <c r="J253" s="304">
        <f>G253+H253+I253</f>
        <v/>
      </c>
      <c r="K253" s="304">
        <f>J253/E253</f>
        <v/>
      </c>
      <c r="L253" s="304">
        <f>J253/F253</f>
        <v/>
      </c>
      <c r="M253" s="74" t="n"/>
    </row>
    <row r="254" hidden="1" ht="15" customHeight="1" s="272">
      <c r="A254" s="287" t="n"/>
      <c r="B254" s="287" t="n"/>
      <c r="C254" s="287" t="n"/>
      <c r="D254" s="208" t="inlineStr">
        <is>
          <t>12月</t>
        </is>
      </c>
      <c r="E254" s="360" t="n"/>
      <c r="F254" s="361" t="n"/>
      <c r="G254" s="362" t="n"/>
      <c r="H254" s="363" t="n"/>
      <c r="I254" s="364" t="n"/>
      <c r="J254" s="304">
        <f>G254+H254+I254</f>
        <v/>
      </c>
      <c r="K254" s="304">
        <f>J254/E254</f>
        <v/>
      </c>
      <c r="L254" s="304">
        <f>J254/F254</f>
        <v/>
      </c>
      <c r="M254" s="74" t="n"/>
    </row>
    <row r="255" hidden="1" ht="15" customHeight="1" s="272">
      <c r="A255" s="287" t="n"/>
      <c r="B255" s="287" t="n"/>
      <c r="C255" s="287" t="n"/>
      <c r="D255" s="208" t="inlineStr">
        <is>
          <t>1月</t>
        </is>
      </c>
      <c r="E255" s="360" t="n"/>
      <c r="F255" s="361" t="n"/>
      <c r="G255" s="362" t="n"/>
      <c r="H255" s="363" t="n"/>
      <c r="I255" s="364" t="n"/>
      <c r="J255" s="304">
        <f>G255+H255+I255</f>
        <v/>
      </c>
      <c r="K255" s="304">
        <f>J255/E255</f>
        <v/>
      </c>
      <c r="L255" s="304">
        <f>J255/F255</f>
        <v/>
      </c>
      <c r="M255" s="74" t="n"/>
    </row>
    <row r="256" hidden="1" ht="15" customHeight="1" s="272">
      <c r="A256" s="287" t="n"/>
      <c r="B256" s="287" t="n"/>
      <c r="C256" s="287" t="n"/>
      <c r="D256" s="208" t="inlineStr">
        <is>
          <t>2月</t>
        </is>
      </c>
      <c r="E256" s="360" t="n"/>
      <c r="F256" s="361" t="n"/>
      <c r="G256" s="362" t="n"/>
      <c r="H256" s="363" t="n"/>
      <c r="I256" s="364" t="n"/>
      <c r="J256" s="304">
        <f>G256+H256+I256</f>
        <v/>
      </c>
      <c r="K256" s="304">
        <f>J256/E256</f>
        <v/>
      </c>
      <c r="L256" s="304">
        <f>J256/F256</f>
        <v/>
      </c>
      <c r="M256" s="74" t="n"/>
    </row>
    <row r="257" hidden="1" ht="15" customHeight="1" s="272">
      <c r="A257" s="290" t="n"/>
      <c r="B257" s="290" t="n"/>
      <c r="C257" s="290" t="n"/>
      <c r="D257" s="211" t="inlineStr">
        <is>
          <t>3月</t>
        </is>
      </c>
      <c r="E257" s="365" t="n"/>
      <c r="F257" s="366" t="n"/>
      <c r="G257" s="367" t="n"/>
      <c r="H257" s="368" t="n"/>
      <c r="I257" s="369" t="n"/>
      <c r="J257" s="311">
        <f>G257+H257+I257</f>
        <v/>
      </c>
      <c r="K257" s="311">
        <f>J257/E257</f>
        <v/>
      </c>
      <c r="L257" s="311">
        <f>J257/F257</f>
        <v/>
      </c>
      <c r="M257" s="75" t="n"/>
    </row>
    <row r="258" hidden="1" ht="15" customHeight="1" s="272">
      <c r="A258" s="291" t="n">
        <v>22</v>
      </c>
      <c r="B258" s="84" t="n"/>
      <c r="C258" s="84" t="n"/>
      <c r="D258" s="205" t="inlineStr">
        <is>
          <t>4月</t>
        </is>
      </c>
      <c r="E258" s="355" t="n"/>
      <c r="F258" s="356" t="n"/>
      <c r="G258" s="357" t="n"/>
      <c r="H258" s="358" t="n"/>
      <c r="I258" s="359" t="n"/>
      <c r="J258" s="297">
        <f>G258+H258+I258</f>
        <v/>
      </c>
      <c r="K258" s="297">
        <f>J258/E258</f>
        <v/>
      </c>
      <c r="L258" s="297">
        <f>J258/F258</f>
        <v/>
      </c>
      <c r="M258" s="73" t="n"/>
    </row>
    <row r="259" hidden="1" ht="15" customHeight="1" s="272">
      <c r="A259" s="287" t="n"/>
      <c r="B259" s="287" t="n"/>
      <c r="C259" s="287" t="n"/>
      <c r="D259" s="208" t="inlineStr">
        <is>
          <t>5月</t>
        </is>
      </c>
      <c r="E259" s="360" t="n"/>
      <c r="F259" s="361" t="n"/>
      <c r="G259" s="362" t="n"/>
      <c r="H259" s="363" t="n"/>
      <c r="I259" s="364" t="n"/>
      <c r="J259" s="304">
        <f>G259+H259+I259</f>
        <v/>
      </c>
      <c r="K259" s="304">
        <f>J259/E259</f>
        <v/>
      </c>
      <c r="L259" s="304">
        <f>J259/F259</f>
        <v/>
      </c>
      <c r="M259" s="74" t="n"/>
    </row>
    <row r="260" hidden="1" ht="15" customHeight="1" s="272">
      <c r="A260" s="287" t="n"/>
      <c r="B260" s="287" t="n"/>
      <c r="C260" s="287" t="n"/>
      <c r="D260" s="208" t="inlineStr">
        <is>
          <t>6月</t>
        </is>
      </c>
      <c r="E260" s="360" t="n"/>
      <c r="F260" s="361" t="n"/>
      <c r="G260" s="362" t="n"/>
      <c r="H260" s="363" t="n"/>
      <c r="I260" s="364" t="n"/>
      <c r="J260" s="304">
        <f>G260+H260+I260</f>
        <v/>
      </c>
      <c r="K260" s="304">
        <f>J260/E260</f>
        <v/>
      </c>
      <c r="L260" s="304">
        <f>J260/F260</f>
        <v/>
      </c>
      <c r="M260" s="74" t="n"/>
    </row>
    <row r="261" hidden="1" ht="15" customHeight="1" s="272">
      <c r="A261" s="287" t="n"/>
      <c r="B261" s="287" t="n"/>
      <c r="C261" s="287" t="n"/>
      <c r="D261" s="208" t="inlineStr">
        <is>
          <t>7月</t>
        </is>
      </c>
      <c r="E261" s="360" t="n"/>
      <c r="F261" s="361" t="n"/>
      <c r="G261" s="362" t="n"/>
      <c r="H261" s="363" t="n"/>
      <c r="I261" s="364" t="n"/>
      <c r="J261" s="304">
        <f>G261+H261+I261</f>
        <v/>
      </c>
      <c r="K261" s="304">
        <f>J261/E261</f>
        <v/>
      </c>
      <c r="L261" s="304">
        <f>J261/F261</f>
        <v/>
      </c>
      <c r="M261" s="74" t="n"/>
    </row>
    <row r="262" hidden="1" ht="15" customHeight="1" s="272">
      <c r="A262" s="287" t="n"/>
      <c r="B262" s="287" t="n"/>
      <c r="C262" s="287" t="n"/>
      <c r="D262" s="208" t="inlineStr">
        <is>
          <t>8月</t>
        </is>
      </c>
      <c r="E262" s="360" t="n"/>
      <c r="F262" s="361" t="n"/>
      <c r="G262" s="362" t="n"/>
      <c r="H262" s="363" t="n"/>
      <c r="I262" s="364" t="n"/>
      <c r="J262" s="304">
        <f>G262+H262+I262</f>
        <v/>
      </c>
      <c r="K262" s="304">
        <f>J262/E262</f>
        <v/>
      </c>
      <c r="L262" s="304">
        <f>J262/F262</f>
        <v/>
      </c>
      <c r="M262" s="74" t="n"/>
    </row>
    <row r="263" hidden="1" ht="15" customHeight="1" s="272">
      <c r="A263" s="287" t="n"/>
      <c r="B263" s="287" t="n"/>
      <c r="C263" s="287" t="n"/>
      <c r="D263" s="208" t="inlineStr">
        <is>
          <t>9月</t>
        </is>
      </c>
      <c r="E263" s="360" t="n"/>
      <c r="F263" s="361" t="n"/>
      <c r="G263" s="362" t="n"/>
      <c r="H263" s="363" t="n"/>
      <c r="I263" s="364" t="n"/>
      <c r="J263" s="304">
        <f>G263+H263+I263</f>
        <v/>
      </c>
      <c r="K263" s="304">
        <f>J263/E263</f>
        <v/>
      </c>
      <c r="L263" s="304">
        <f>J263/F263</f>
        <v/>
      </c>
      <c r="M263" s="74" t="n"/>
    </row>
    <row r="264" hidden="1" ht="15" customHeight="1" s="272">
      <c r="A264" s="287" t="n"/>
      <c r="B264" s="287" t="n"/>
      <c r="C264" s="287" t="n"/>
      <c r="D264" s="208" t="inlineStr">
        <is>
          <t>10月</t>
        </is>
      </c>
      <c r="E264" s="360" t="n"/>
      <c r="F264" s="361" t="n"/>
      <c r="G264" s="362" t="n"/>
      <c r="H264" s="363" t="n"/>
      <c r="I264" s="364" t="n"/>
      <c r="J264" s="304">
        <f>G264+H264+I264</f>
        <v/>
      </c>
      <c r="K264" s="304">
        <f>J264/E264</f>
        <v/>
      </c>
      <c r="L264" s="304">
        <f>J264/F264</f>
        <v/>
      </c>
      <c r="M264" s="74" t="n"/>
    </row>
    <row r="265" hidden="1" ht="15" customHeight="1" s="272">
      <c r="A265" s="287" t="n"/>
      <c r="B265" s="287" t="n"/>
      <c r="C265" s="287" t="n"/>
      <c r="D265" s="208" t="inlineStr">
        <is>
          <t>11月</t>
        </is>
      </c>
      <c r="E265" s="360" t="n"/>
      <c r="F265" s="361" t="n"/>
      <c r="G265" s="362" t="n"/>
      <c r="H265" s="363" t="n"/>
      <c r="I265" s="364" t="n"/>
      <c r="J265" s="304">
        <f>G265+H265+I265</f>
        <v/>
      </c>
      <c r="K265" s="304">
        <f>J265/E265</f>
        <v/>
      </c>
      <c r="L265" s="304">
        <f>J265/F265</f>
        <v/>
      </c>
      <c r="M265" s="74" t="n"/>
    </row>
    <row r="266" hidden="1" ht="15" customHeight="1" s="272">
      <c r="A266" s="287" t="n"/>
      <c r="B266" s="287" t="n"/>
      <c r="C266" s="287" t="n"/>
      <c r="D266" s="208" t="inlineStr">
        <is>
          <t>12月</t>
        </is>
      </c>
      <c r="E266" s="360" t="n"/>
      <c r="F266" s="361" t="n"/>
      <c r="G266" s="362" t="n"/>
      <c r="H266" s="363" t="n"/>
      <c r="I266" s="364" t="n"/>
      <c r="J266" s="304">
        <f>G266+H266+I266</f>
        <v/>
      </c>
      <c r="K266" s="304">
        <f>J266/E266</f>
        <v/>
      </c>
      <c r="L266" s="304">
        <f>J266/F266</f>
        <v/>
      </c>
      <c r="M266" s="74" t="n"/>
    </row>
    <row r="267" hidden="1" ht="15" customHeight="1" s="272">
      <c r="A267" s="287" t="n"/>
      <c r="B267" s="287" t="n"/>
      <c r="C267" s="287" t="n"/>
      <c r="D267" s="208" t="inlineStr">
        <is>
          <t>1月</t>
        </is>
      </c>
      <c r="E267" s="360" t="n"/>
      <c r="F267" s="361" t="n"/>
      <c r="G267" s="362" t="n"/>
      <c r="H267" s="363" t="n"/>
      <c r="I267" s="364" t="n"/>
      <c r="J267" s="304">
        <f>G267+H267+I267</f>
        <v/>
      </c>
      <c r="K267" s="304">
        <f>J267/E267</f>
        <v/>
      </c>
      <c r="L267" s="304">
        <f>J267/F267</f>
        <v/>
      </c>
      <c r="M267" s="74" t="n"/>
    </row>
    <row r="268" hidden="1" ht="15" customHeight="1" s="272">
      <c r="A268" s="287" t="n"/>
      <c r="B268" s="287" t="n"/>
      <c r="C268" s="287" t="n"/>
      <c r="D268" s="208" t="inlineStr">
        <is>
          <t>2月</t>
        </is>
      </c>
      <c r="E268" s="360" t="n"/>
      <c r="F268" s="361" t="n"/>
      <c r="G268" s="362" t="n"/>
      <c r="H268" s="363" t="n"/>
      <c r="I268" s="364" t="n"/>
      <c r="J268" s="304">
        <f>G268+H268+I268</f>
        <v/>
      </c>
      <c r="K268" s="304">
        <f>J268/E268</f>
        <v/>
      </c>
      <c r="L268" s="304">
        <f>J268/F268</f>
        <v/>
      </c>
      <c r="M268" s="74" t="n"/>
    </row>
    <row r="269" hidden="1" ht="15" customHeight="1" s="272">
      <c r="A269" s="290" t="n"/>
      <c r="B269" s="290" t="n"/>
      <c r="C269" s="290" t="n"/>
      <c r="D269" s="211" t="inlineStr">
        <is>
          <t>3月</t>
        </is>
      </c>
      <c r="E269" s="365" t="n"/>
      <c r="F269" s="366" t="n"/>
      <c r="G269" s="367" t="n"/>
      <c r="H269" s="368" t="n"/>
      <c r="I269" s="369" t="n"/>
      <c r="J269" s="311">
        <f>G269+H269+I269</f>
        <v/>
      </c>
      <c r="K269" s="311">
        <f>J269/E269</f>
        <v/>
      </c>
      <c r="L269" s="311">
        <f>J269/F269</f>
        <v/>
      </c>
      <c r="M269" s="75" t="n"/>
    </row>
    <row r="270" hidden="1" ht="15" customHeight="1" s="272">
      <c r="A270" s="291" t="n">
        <v>23</v>
      </c>
      <c r="B270" s="84" t="n"/>
      <c r="C270" s="84" t="n"/>
      <c r="D270" s="205" t="inlineStr">
        <is>
          <t>4月</t>
        </is>
      </c>
      <c r="E270" s="355" t="n"/>
      <c r="F270" s="356" t="n"/>
      <c r="G270" s="357" t="n"/>
      <c r="H270" s="358" t="n"/>
      <c r="I270" s="359" t="n"/>
      <c r="J270" s="297">
        <f>G270+H270+I270</f>
        <v/>
      </c>
      <c r="K270" s="297">
        <f>J270/E270</f>
        <v/>
      </c>
      <c r="L270" s="297">
        <f>J270/F270</f>
        <v/>
      </c>
      <c r="M270" s="73" t="n"/>
    </row>
    <row r="271" hidden="1" ht="15" customHeight="1" s="272">
      <c r="A271" s="287" t="n"/>
      <c r="B271" s="287" t="n"/>
      <c r="C271" s="287" t="n"/>
      <c r="D271" s="208" t="inlineStr">
        <is>
          <t>5月</t>
        </is>
      </c>
      <c r="E271" s="360" t="n"/>
      <c r="F271" s="361" t="n"/>
      <c r="G271" s="362" t="n"/>
      <c r="H271" s="363" t="n"/>
      <c r="I271" s="364" t="n"/>
      <c r="J271" s="304">
        <f>G271+H271+I271</f>
        <v/>
      </c>
      <c r="K271" s="304">
        <f>J271/E271</f>
        <v/>
      </c>
      <c r="L271" s="304">
        <f>J271/F271</f>
        <v/>
      </c>
      <c r="M271" s="74" t="n"/>
    </row>
    <row r="272" hidden="1" ht="15" customHeight="1" s="272">
      <c r="A272" s="287" t="n"/>
      <c r="B272" s="287" t="n"/>
      <c r="C272" s="287" t="n"/>
      <c r="D272" s="208" t="inlineStr">
        <is>
          <t>6月</t>
        </is>
      </c>
      <c r="E272" s="360" t="n"/>
      <c r="F272" s="361" t="n"/>
      <c r="G272" s="362" t="n"/>
      <c r="H272" s="363" t="n"/>
      <c r="I272" s="364" t="n"/>
      <c r="J272" s="304">
        <f>G272+H272+I272</f>
        <v/>
      </c>
      <c r="K272" s="304">
        <f>J272/E272</f>
        <v/>
      </c>
      <c r="L272" s="304">
        <f>J272/F272</f>
        <v/>
      </c>
      <c r="M272" s="74" t="n"/>
    </row>
    <row r="273" hidden="1" ht="15" customHeight="1" s="272">
      <c r="A273" s="287" t="n"/>
      <c r="B273" s="287" t="n"/>
      <c r="C273" s="287" t="n"/>
      <c r="D273" s="208" t="inlineStr">
        <is>
          <t>7月</t>
        </is>
      </c>
      <c r="E273" s="360" t="n"/>
      <c r="F273" s="361" t="n"/>
      <c r="G273" s="362" t="n"/>
      <c r="H273" s="363" t="n"/>
      <c r="I273" s="364" t="n"/>
      <c r="J273" s="304">
        <f>G273+H273+I273</f>
        <v/>
      </c>
      <c r="K273" s="304">
        <f>J273/E273</f>
        <v/>
      </c>
      <c r="L273" s="304">
        <f>J273/F273</f>
        <v/>
      </c>
      <c r="M273" s="74" t="n"/>
    </row>
    <row r="274" hidden="1" ht="15" customHeight="1" s="272">
      <c r="A274" s="287" t="n"/>
      <c r="B274" s="287" t="n"/>
      <c r="C274" s="287" t="n"/>
      <c r="D274" s="208" t="inlineStr">
        <is>
          <t>8月</t>
        </is>
      </c>
      <c r="E274" s="360" t="n"/>
      <c r="F274" s="361" t="n"/>
      <c r="G274" s="362" t="n"/>
      <c r="H274" s="363" t="n"/>
      <c r="I274" s="364" t="n"/>
      <c r="J274" s="304">
        <f>G274+H274+I274</f>
        <v/>
      </c>
      <c r="K274" s="304">
        <f>J274/E274</f>
        <v/>
      </c>
      <c r="L274" s="304">
        <f>J274/F274</f>
        <v/>
      </c>
      <c r="M274" s="74" t="n"/>
    </row>
    <row r="275" hidden="1" ht="15" customHeight="1" s="272">
      <c r="A275" s="287" t="n"/>
      <c r="B275" s="287" t="n"/>
      <c r="C275" s="287" t="n"/>
      <c r="D275" s="208" t="inlineStr">
        <is>
          <t>9月</t>
        </is>
      </c>
      <c r="E275" s="360" t="n"/>
      <c r="F275" s="361" t="n"/>
      <c r="G275" s="362" t="n"/>
      <c r="H275" s="363" t="n"/>
      <c r="I275" s="364" t="n"/>
      <c r="J275" s="304">
        <f>G275+H275+I275</f>
        <v/>
      </c>
      <c r="K275" s="304">
        <f>J275/E275</f>
        <v/>
      </c>
      <c r="L275" s="304">
        <f>J275/F275</f>
        <v/>
      </c>
      <c r="M275" s="74" t="n"/>
    </row>
    <row r="276" hidden="1" ht="15" customHeight="1" s="272">
      <c r="A276" s="287" t="n"/>
      <c r="B276" s="287" t="n"/>
      <c r="C276" s="287" t="n"/>
      <c r="D276" s="208" t="inlineStr">
        <is>
          <t>10月</t>
        </is>
      </c>
      <c r="E276" s="360" t="n"/>
      <c r="F276" s="361" t="n"/>
      <c r="G276" s="362" t="n"/>
      <c r="H276" s="363" t="n"/>
      <c r="I276" s="364" t="n"/>
      <c r="J276" s="304">
        <f>G276+H276+I276</f>
        <v/>
      </c>
      <c r="K276" s="304">
        <f>J276/E276</f>
        <v/>
      </c>
      <c r="L276" s="304">
        <f>J276/F276</f>
        <v/>
      </c>
      <c r="M276" s="74" t="n"/>
    </row>
    <row r="277" hidden="1" ht="15" customHeight="1" s="272">
      <c r="A277" s="287" t="n"/>
      <c r="B277" s="287" t="n"/>
      <c r="C277" s="287" t="n"/>
      <c r="D277" s="208" t="inlineStr">
        <is>
          <t>11月</t>
        </is>
      </c>
      <c r="E277" s="360" t="n"/>
      <c r="F277" s="361" t="n"/>
      <c r="G277" s="362" t="n"/>
      <c r="H277" s="363" t="n"/>
      <c r="I277" s="364" t="n"/>
      <c r="J277" s="304">
        <f>G277+H277+I277</f>
        <v/>
      </c>
      <c r="K277" s="304">
        <f>J277/E277</f>
        <v/>
      </c>
      <c r="L277" s="304">
        <f>J277/F277</f>
        <v/>
      </c>
      <c r="M277" s="74" t="n"/>
    </row>
    <row r="278" hidden="1" ht="15" customHeight="1" s="272">
      <c r="A278" s="287" t="n"/>
      <c r="B278" s="287" t="n"/>
      <c r="C278" s="287" t="n"/>
      <c r="D278" s="208" t="inlineStr">
        <is>
          <t>12月</t>
        </is>
      </c>
      <c r="E278" s="360" t="n"/>
      <c r="F278" s="361" t="n"/>
      <c r="G278" s="362" t="n"/>
      <c r="H278" s="363" t="n"/>
      <c r="I278" s="364" t="n"/>
      <c r="J278" s="304">
        <f>G278+H278+I278</f>
        <v/>
      </c>
      <c r="K278" s="304">
        <f>J278/E278</f>
        <v/>
      </c>
      <c r="L278" s="304">
        <f>J278/F278</f>
        <v/>
      </c>
      <c r="M278" s="74" t="n"/>
    </row>
    <row r="279" hidden="1" ht="15" customHeight="1" s="272">
      <c r="A279" s="287" t="n"/>
      <c r="B279" s="287" t="n"/>
      <c r="C279" s="287" t="n"/>
      <c r="D279" s="208" t="inlineStr">
        <is>
          <t>1月</t>
        </is>
      </c>
      <c r="E279" s="360" t="n"/>
      <c r="F279" s="361" t="n"/>
      <c r="G279" s="362" t="n"/>
      <c r="H279" s="363" t="n"/>
      <c r="I279" s="364" t="n"/>
      <c r="J279" s="304">
        <f>G279+H279+I279</f>
        <v/>
      </c>
      <c r="K279" s="304">
        <f>J279/E279</f>
        <v/>
      </c>
      <c r="L279" s="304">
        <f>J279/F279</f>
        <v/>
      </c>
      <c r="M279" s="74" t="n"/>
    </row>
    <row r="280" hidden="1" ht="15" customHeight="1" s="272">
      <c r="A280" s="287" t="n"/>
      <c r="B280" s="287" t="n"/>
      <c r="C280" s="287" t="n"/>
      <c r="D280" s="208" t="inlineStr">
        <is>
          <t>2月</t>
        </is>
      </c>
      <c r="E280" s="360" t="n"/>
      <c r="F280" s="361" t="n"/>
      <c r="G280" s="362" t="n"/>
      <c r="H280" s="363" t="n"/>
      <c r="I280" s="364" t="n"/>
      <c r="J280" s="304">
        <f>G280+H280+I280</f>
        <v/>
      </c>
      <c r="K280" s="304">
        <f>J280/E280</f>
        <v/>
      </c>
      <c r="L280" s="304">
        <f>J280/F280</f>
        <v/>
      </c>
      <c r="M280" s="74" t="n"/>
    </row>
    <row r="281" hidden="1" ht="15" customHeight="1" s="272">
      <c r="A281" s="290" t="n"/>
      <c r="B281" s="290" t="n"/>
      <c r="C281" s="290" t="n"/>
      <c r="D281" s="211" t="inlineStr">
        <is>
          <t>3月</t>
        </is>
      </c>
      <c r="E281" s="365" t="n"/>
      <c r="F281" s="366" t="n"/>
      <c r="G281" s="367" t="n"/>
      <c r="H281" s="368" t="n"/>
      <c r="I281" s="369" t="n"/>
      <c r="J281" s="311">
        <f>G281+H281+I281</f>
        <v/>
      </c>
      <c r="K281" s="311">
        <f>J281/E281</f>
        <v/>
      </c>
      <c r="L281" s="311">
        <f>J281/F281</f>
        <v/>
      </c>
      <c r="M281" s="75" t="n"/>
    </row>
    <row r="282" hidden="1" ht="15" customHeight="1" s="272">
      <c r="A282" s="291" t="n">
        <v>24</v>
      </c>
      <c r="B282" s="84" t="n"/>
      <c r="C282" s="84" t="n"/>
      <c r="D282" s="205" t="inlineStr">
        <is>
          <t>4月</t>
        </is>
      </c>
      <c r="E282" s="355" t="n"/>
      <c r="F282" s="356" t="n"/>
      <c r="G282" s="357" t="n"/>
      <c r="H282" s="358" t="n"/>
      <c r="I282" s="359" t="n"/>
      <c r="J282" s="297">
        <f>G282+H282+I282</f>
        <v/>
      </c>
      <c r="K282" s="297">
        <f>J282/E282</f>
        <v/>
      </c>
      <c r="L282" s="297">
        <f>J282/F282</f>
        <v/>
      </c>
      <c r="M282" s="73" t="n"/>
    </row>
    <row r="283" hidden="1" ht="15" customHeight="1" s="272">
      <c r="A283" s="287" t="n"/>
      <c r="B283" s="287" t="n"/>
      <c r="C283" s="287" t="n"/>
      <c r="D283" s="208" t="inlineStr">
        <is>
          <t>5月</t>
        </is>
      </c>
      <c r="E283" s="360" t="n"/>
      <c r="F283" s="361" t="n"/>
      <c r="G283" s="362" t="n"/>
      <c r="H283" s="363" t="n"/>
      <c r="I283" s="364" t="n"/>
      <c r="J283" s="304">
        <f>G283+H283+I283</f>
        <v/>
      </c>
      <c r="K283" s="304">
        <f>J283/E283</f>
        <v/>
      </c>
      <c r="L283" s="304">
        <f>J283/F283</f>
        <v/>
      </c>
      <c r="M283" s="74" t="n"/>
    </row>
    <row r="284" hidden="1" ht="15" customHeight="1" s="272">
      <c r="A284" s="287" t="n"/>
      <c r="B284" s="287" t="n"/>
      <c r="C284" s="287" t="n"/>
      <c r="D284" s="208" t="inlineStr">
        <is>
          <t>6月</t>
        </is>
      </c>
      <c r="E284" s="360" t="n"/>
      <c r="F284" s="361" t="n"/>
      <c r="G284" s="362" t="n"/>
      <c r="H284" s="363" t="n"/>
      <c r="I284" s="364" t="n"/>
      <c r="J284" s="304">
        <f>G284+H284+I284</f>
        <v/>
      </c>
      <c r="K284" s="304">
        <f>J284/E284</f>
        <v/>
      </c>
      <c r="L284" s="304">
        <f>J284/F284</f>
        <v/>
      </c>
      <c r="M284" s="74" t="n"/>
    </row>
    <row r="285" hidden="1" ht="15" customHeight="1" s="272">
      <c r="A285" s="287" t="n"/>
      <c r="B285" s="287" t="n"/>
      <c r="C285" s="287" t="n"/>
      <c r="D285" s="208" t="inlineStr">
        <is>
          <t>7月</t>
        </is>
      </c>
      <c r="E285" s="360" t="n"/>
      <c r="F285" s="361" t="n"/>
      <c r="G285" s="362" t="n"/>
      <c r="H285" s="363" t="n"/>
      <c r="I285" s="364" t="n"/>
      <c r="J285" s="304">
        <f>G285+H285+I285</f>
        <v/>
      </c>
      <c r="K285" s="304">
        <f>J285/E285</f>
        <v/>
      </c>
      <c r="L285" s="304">
        <f>J285/F285</f>
        <v/>
      </c>
      <c r="M285" s="74" t="n"/>
    </row>
    <row r="286" hidden="1" ht="15" customHeight="1" s="272">
      <c r="A286" s="287" t="n"/>
      <c r="B286" s="287" t="n"/>
      <c r="C286" s="287" t="n"/>
      <c r="D286" s="208" t="inlineStr">
        <is>
          <t>8月</t>
        </is>
      </c>
      <c r="E286" s="360" t="n"/>
      <c r="F286" s="361" t="n"/>
      <c r="G286" s="362" t="n"/>
      <c r="H286" s="363" t="n"/>
      <c r="I286" s="364" t="n"/>
      <c r="J286" s="304">
        <f>G286+H286+I286</f>
        <v/>
      </c>
      <c r="K286" s="304">
        <f>J286/E286</f>
        <v/>
      </c>
      <c r="L286" s="304">
        <f>J286/F286</f>
        <v/>
      </c>
      <c r="M286" s="74" t="n"/>
    </row>
    <row r="287" hidden="1" ht="15" customHeight="1" s="272">
      <c r="A287" s="287" t="n"/>
      <c r="B287" s="287" t="n"/>
      <c r="C287" s="287" t="n"/>
      <c r="D287" s="208" t="inlineStr">
        <is>
          <t>9月</t>
        </is>
      </c>
      <c r="E287" s="360" t="n"/>
      <c r="F287" s="361" t="n"/>
      <c r="G287" s="362" t="n"/>
      <c r="H287" s="363" t="n"/>
      <c r="I287" s="364" t="n"/>
      <c r="J287" s="304">
        <f>G287+H287+I287</f>
        <v/>
      </c>
      <c r="K287" s="304">
        <f>J287/E287</f>
        <v/>
      </c>
      <c r="L287" s="304">
        <f>J287/F287</f>
        <v/>
      </c>
      <c r="M287" s="74" t="n"/>
    </row>
    <row r="288" hidden="1" ht="15" customHeight="1" s="272">
      <c r="A288" s="287" t="n"/>
      <c r="B288" s="287" t="n"/>
      <c r="C288" s="287" t="n"/>
      <c r="D288" s="208" t="inlineStr">
        <is>
          <t>10月</t>
        </is>
      </c>
      <c r="E288" s="360" t="n"/>
      <c r="F288" s="361" t="n"/>
      <c r="G288" s="362" t="n"/>
      <c r="H288" s="363" t="n"/>
      <c r="I288" s="364" t="n"/>
      <c r="J288" s="304">
        <f>G288+H288+I288</f>
        <v/>
      </c>
      <c r="K288" s="304">
        <f>J288/E288</f>
        <v/>
      </c>
      <c r="L288" s="304">
        <f>J288/F288</f>
        <v/>
      </c>
      <c r="M288" s="74" t="n"/>
    </row>
    <row r="289" hidden="1" ht="15" customHeight="1" s="272">
      <c r="A289" s="287" t="n"/>
      <c r="B289" s="287" t="n"/>
      <c r="C289" s="287" t="n"/>
      <c r="D289" s="208" t="inlineStr">
        <is>
          <t>11月</t>
        </is>
      </c>
      <c r="E289" s="360" t="n"/>
      <c r="F289" s="361" t="n"/>
      <c r="G289" s="362" t="n"/>
      <c r="H289" s="363" t="n"/>
      <c r="I289" s="364" t="n"/>
      <c r="J289" s="304">
        <f>G289+H289+I289</f>
        <v/>
      </c>
      <c r="K289" s="304">
        <f>J289/E289</f>
        <v/>
      </c>
      <c r="L289" s="304">
        <f>J289/F289</f>
        <v/>
      </c>
      <c r="M289" s="74" t="n"/>
    </row>
    <row r="290" hidden="1" ht="15" customHeight="1" s="272">
      <c r="A290" s="287" t="n"/>
      <c r="B290" s="287" t="n"/>
      <c r="C290" s="287" t="n"/>
      <c r="D290" s="208" t="inlineStr">
        <is>
          <t>12月</t>
        </is>
      </c>
      <c r="E290" s="360" t="n"/>
      <c r="F290" s="361" t="n"/>
      <c r="G290" s="362" t="n"/>
      <c r="H290" s="363" t="n"/>
      <c r="I290" s="364" t="n"/>
      <c r="J290" s="304">
        <f>G290+H290+I290</f>
        <v/>
      </c>
      <c r="K290" s="304">
        <f>J290/E290</f>
        <v/>
      </c>
      <c r="L290" s="304">
        <f>J290/F290</f>
        <v/>
      </c>
      <c r="M290" s="74" t="n"/>
    </row>
    <row r="291" hidden="1" ht="15" customHeight="1" s="272">
      <c r="A291" s="287" t="n"/>
      <c r="B291" s="287" t="n"/>
      <c r="C291" s="287" t="n"/>
      <c r="D291" s="208" t="inlineStr">
        <is>
          <t>1月</t>
        </is>
      </c>
      <c r="E291" s="360" t="n"/>
      <c r="F291" s="361" t="n"/>
      <c r="G291" s="362" t="n"/>
      <c r="H291" s="363" t="n"/>
      <c r="I291" s="364" t="n"/>
      <c r="J291" s="304">
        <f>G291+H291+I291</f>
        <v/>
      </c>
      <c r="K291" s="304">
        <f>J291/E291</f>
        <v/>
      </c>
      <c r="L291" s="304">
        <f>J291/F291</f>
        <v/>
      </c>
      <c r="M291" s="74" t="n"/>
    </row>
    <row r="292" hidden="1" ht="15" customHeight="1" s="272">
      <c r="A292" s="287" t="n"/>
      <c r="B292" s="287" t="n"/>
      <c r="C292" s="287" t="n"/>
      <c r="D292" s="208" t="inlineStr">
        <is>
          <t>2月</t>
        </is>
      </c>
      <c r="E292" s="360" t="n"/>
      <c r="F292" s="361" t="n"/>
      <c r="G292" s="362" t="n"/>
      <c r="H292" s="363" t="n"/>
      <c r="I292" s="364" t="n"/>
      <c r="J292" s="304">
        <f>G292+H292+I292</f>
        <v/>
      </c>
      <c r="K292" s="304">
        <f>J292/E292</f>
        <v/>
      </c>
      <c r="L292" s="304">
        <f>J292/F292</f>
        <v/>
      </c>
      <c r="M292" s="74" t="n"/>
    </row>
    <row r="293" hidden="1" ht="15" customHeight="1" s="272">
      <c r="A293" s="290" t="n"/>
      <c r="B293" s="290" t="n"/>
      <c r="C293" s="290" t="n"/>
      <c r="D293" s="211" t="inlineStr">
        <is>
          <t>3月</t>
        </is>
      </c>
      <c r="E293" s="365" t="n"/>
      <c r="F293" s="366" t="n"/>
      <c r="G293" s="367" t="n"/>
      <c r="H293" s="368" t="n"/>
      <c r="I293" s="369" t="n"/>
      <c r="J293" s="312">
        <f>G293+H293+I293</f>
        <v/>
      </c>
      <c r="K293" s="312">
        <f>J293/E293</f>
        <v/>
      </c>
      <c r="L293" s="312">
        <f>J293/F293</f>
        <v/>
      </c>
      <c r="M293" s="75" t="n"/>
    </row>
    <row r="294" hidden="1" ht="15" customHeight="1" s="272">
      <c r="A294" s="291" t="n">
        <v>25</v>
      </c>
      <c r="B294" s="84" t="n"/>
      <c r="C294" s="84" t="n"/>
      <c r="D294" s="205" t="inlineStr">
        <is>
          <t>4月</t>
        </is>
      </c>
      <c r="E294" s="355" t="n"/>
      <c r="F294" s="356" t="n"/>
      <c r="G294" s="357" t="n"/>
      <c r="H294" s="358" t="n"/>
      <c r="I294" s="359" t="n"/>
      <c r="J294" s="297">
        <f>G294+H294+I294</f>
        <v/>
      </c>
      <c r="K294" s="297">
        <f>J294/E294</f>
        <v/>
      </c>
      <c r="L294" s="297">
        <f>J294/F294</f>
        <v/>
      </c>
      <c r="M294" s="73" t="n"/>
    </row>
    <row r="295" hidden="1" ht="15" customHeight="1" s="272">
      <c r="A295" s="287" t="n"/>
      <c r="B295" s="287" t="n"/>
      <c r="C295" s="287" t="n"/>
      <c r="D295" s="208" t="inlineStr">
        <is>
          <t>5月</t>
        </is>
      </c>
      <c r="E295" s="360" t="n"/>
      <c r="F295" s="361" t="n"/>
      <c r="G295" s="362" t="n"/>
      <c r="H295" s="363" t="n"/>
      <c r="I295" s="364" t="n"/>
      <c r="J295" s="304">
        <f>G295+H295+I295</f>
        <v/>
      </c>
      <c r="K295" s="304">
        <f>J295/E295</f>
        <v/>
      </c>
      <c r="L295" s="304">
        <f>J295/F295</f>
        <v/>
      </c>
      <c r="M295" s="74" t="n"/>
    </row>
    <row r="296" hidden="1" ht="15" customHeight="1" s="272">
      <c r="A296" s="287" t="n"/>
      <c r="B296" s="287" t="n"/>
      <c r="C296" s="287" t="n"/>
      <c r="D296" s="208" t="inlineStr">
        <is>
          <t>6月</t>
        </is>
      </c>
      <c r="E296" s="360" t="n"/>
      <c r="F296" s="361" t="n"/>
      <c r="G296" s="362" t="n"/>
      <c r="H296" s="363" t="n"/>
      <c r="I296" s="364" t="n"/>
      <c r="J296" s="304">
        <f>G296+H296+I296</f>
        <v/>
      </c>
      <c r="K296" s="304">
        <f>J296/E296</f>
        <v/>
      </c>
      <c r="L296" s="304">
        <f>J296/F296</f>
        <v/>
      </c>
      <c r="M296" s="74" t="n"/>
    </row>
    <row r="297" hidden="1" ht="15" customHeight="1" s="272">
      <c r="A297" s="287" t="n"/>
      <c r="B297" s="287" t="n"/>
      <c r="C297" s="287" t="n"/>
      <c r="D297" s="208" t="inlineStr">
        <is>
          <t>7月</t>
        </is>
      </c>
      <c r="E297" s="360" t="n"/>
      <c r="F297" s="361" t="n"/>
      <c r="G297" s="362" t="n"/>
      <c r="H297" s="363" t="n"/>
      <c r="I297" s="364" t="n"/>
      <c r="J297" s="304">
        <f>G297+H297+I297</f>
        <v/>
      </c>
      <c r="K297" s="304">
        <f>J297/E297</f>
        <v/>
      </c>
      <c r="L297" s="304">
        <f>J297/F297</f>
        <v/>
      </c>
      <c r="M297" s="74" t="n"/>
    </row>
    <row r="298" hidden="1" ht="15" customHeight="1" s="272">
      <c r="A298" s="287" t="n"/>
      <c r="B298" s="287" t="n"/>
      <c r="C298" s="287" t="n"/>
      <c r="D298" s="208" t="inlineStr">
        <is>
          <t>8月</t>
        </is>
      </c>
      <c r="E298" s="360" t="n"/>
      <c r="F298" s="361" t="n"/>
      <c r="G298" s="362" t="n"/>
      <c r="H298" s="363" t="n"/>
      <c r="I298" s="364" t="n"/>
      <c r="J298" s="304">
        <f>G298+H298+I298</f>
        <v/>
      </c>
      <c r="K298" s="304">
        <f>J298/E298</f>
        <v/>
      </c>
      <c r="L298" s="304">
        <f>J298/F298</f>
        <v/>
      </c>
      <c r="M298" s="74" t="n"/>
    </row>
    <row r="299" hidden="1" ht="15" customHeight="1" s="272">
      <c r="A299" s="287" t="n"/>
      <c r="B299" s="287" t="n"/>
      <c r="C299" s="287" t="n"/>
      <c r="D299" s="208" t="inlineStr">
        <is>
          <t>9月</t>
        </is>
      </c>
      <c r="E299" s="360" t="n"/>
      <c r="F299" s="361" t="n"/>
      <c r="G299" s="362" t="n"/>
      <c r="H299" s="363" t="n"/>
      <c r="I299" s="364" t="n"/>
      <c r="J299" s="304">
        <f>G299+H299+I299</f>
        <v/>
      </c>
      <c r="K299" s="304">
        <f>J299/E299</f>
        <v/>
      </c>
      <c r="L299" s="304">
        <f>J299/F299</f>
        <v/>
      </c>
      <c r="M299" s="74" t="n"/>
    </row>
    <row r="300" hidden="1" ht="15" customHeight="1" s="272">
      <c r="A300" s="287" t="n"/>
      <c r="B300" s="287" t="n"/>
      <c r="C300" s="287" t="n"/>
      <c r="D300" s="208" t="inlineStr">
        <is>
          <t>10月</t>
        </is>
      </c>
      <c r="E300" s="360" t="n"/>
      <c r="F300" s="361" t="n"/>
      <c r="G300" s="362" t="n"/>
      <c r="H300" s="363" t="n"/>
      <c r="I300" s="364" t="n"/>
      <c r="J300" s="304">
        <f>G300+H300+I300</f>
        <v/>
      </c>
      <c r="K300" s="304">
        <f>J300/E300</f>
        <v/>
      </c>
      <c r="L300" s="304">
        <f>J300/F300</f>
        <v/>
      </c>
      <c r="M300" s="74" t="n"/>
    </row>
    <row r="301" hidden="1" ht="15" customHeight="1" s="272">
      <c r="A301" s="287" t="n"/>
      <c r="B301" s="287" t="n"/>
      <c r="C301" s="287" t="n"/>
      <c r="D301" s="208" t="inlineStr">
        <is>
          <t>11月</t>
        </is>
      </c>
      <c r="E301" s="360" t="n"/>
      <c r="F301" s="361" t="n"/>
      <c r="G301" s="362" t="n"/>
      <c r="H301" s="363" t="n"/>
      <c r="I301" s="364" t="n"/>
      <c r="J301" s="304">
        <f>G301+H301+I301</f>
        <v/>
      </c>
      <c r="K301" s="304">
        <f>J301/E301</f>
        <v/>
      </c>
      <c r="L301" s="304">
        <f>J301/F301</f>
        <v/>
      </c>
      <c r="M301" s="74" t="n"/>
    </row>
    <row r="302" hidden="1" ht="15" customHeight="1" s="272">
      <c r="A302" s="287" t="n"/>
      <c r="B302" s="287" t="n"/>
      <c r="C302" s="287" t="n"/>
      <c r="D302" s="208" t="inlineStr">
        <is>
          <t>12月</t>
        </is>
      </c>
      <c r="E302" s="360" t="n"/>
      <c r="F302" s="361" t="n"/>
      <c r="G302" s="362" t="n"/>
      <c r="H302" s="363" t="n"/>
      <c r="I302" s="364" t="n"/>
      <c r="J302" s="304">
        <f>G302+H302+I302</f>
        <v/>
      </c>
      <c r="K302" s="304">
        <f>J302/E302</f>
        <v/>
      </c>
      <c r="L302" s="304">
        <f>J302/F302</f>
        <v/>
      </c>
      <c r="M302" s="74" t="n"/>
    </row>
    <row r="303" hidden="1" ht="15" customHeight="1" s="272">
      <c r="A303" s="287" t="n"/>
      <c r="B303" s="287" t="n"/>
      <c r="C303" s="287" t="n"/>
      <c r="D303" s="208" t="inlineStr">
        <is>
          <t>1月</t>
        </is>
      </c>
      <c r="E303" s="360" t="n"/>
      <c r="F303" s="361" t="n"/>
      <c r="G303" s="362" t="n"/>
      <c r="H303" s="363" t="n"/>
      <c r="I303" s="364" t="n"/>
      <c r="J303" s="304">
        <f>G303+H303+I303</f>
        <v/>
      </c>
      <c r="K303" s="304">
        <f>J303/E303</f>
        <v/>
      </c>
      <c r="L303" s="304">
        <f>J303/F303</f>
        <v/>
      </c>
      <c r="M303" s="74" t="n"/>
    </row>
    <row r="304" hidden="1" ht="15" customHeight="1" s="272">
      <c r="A304" s="287" t="n"/>
      <c r="B304" s="287" t="n"/>
      <c r="C304" s="287" t="n"/>
      <c r="D304" s="208" t="inlineStr">
        <is>
          <t>2月</t>
        </is>
      </c>
      <c r="E304" s="360" t="n"/>
      <c r="F304" s="361" t="n"/>
      <c r="G304" s="362" t="n"/>
      <c r="H304" s="363" t="n"/>
      <c r="I304" s="364" t="n"/>
      <c r="J304" s="304">
        <f>G304+H304+I304</f>
        <v/>
      </c>
      <c r="K304" s="304">
        <f>J304/E304</f>
        <v/>
      </c>
      <c r="L304" s="304">
        <f>J304/F304</f>
        <v/>
      </c>
      <c r="M304" s="74" t="n"/>
    </row>
    <row r="305" hidden="1" ht="15" customHeight="1" s="272">
      <c r="A305" s="290" t="n"/>
      <c r="B305" s="290" t="n"/>
      <c r="C305" s="290" t="n"/>
      <c r="D305" s="211" t="inlineStr">
        <is>
          <t>3月</t>
        </is>
      </c>
      <c r="E305" s="365" t="n"/>
      <c r="F305" s="366" t="n"/>
      <c r="G305" s="367" t="n"/>
      <c r="H305" s="368" t="n"/>
      <c r="I305" s="369" t="n"/>
      <c r="J305" s="311">
        <f>G305+H305+I305</f>
        <v/>
      </c>
      <c r="K305" s="311">
        <f>J305/E305</f>
        <v/>
      </c>
      <c r="L305" s="311">
        <f>J305/F305</f>
        <v/>
      </c>
      <c r="M305" s="75" t="n"/>
    </row>
    <row r="306" hidden="1" ht="15" customHeight="1" s="272">
      <c r="A306" s="291" t="n">
        <v>26</v>
      </c>
      <c r="B306" s="84" t="n"/>
      <c r="C306" s="84" t="n"/>
      <c r="D306" s="205" t="inlineStr">
        <is>
          <t>4月</t>
        </is>
      </c>
      <c r="E306" s="355" t="n"/>
      <c r="F306" s="356" t="n"/>
      <c r="G306" s="357" t="n"/>
      <c r="H306" s="358" t="n"/>
      <c r="I306" s="359" t="n"/>
      <c r="J306" s="297">
        <f>G306+H306+I306</f>
        <v/>
      </c>
      <c r="K306" s="297">
        <f>J306/E306</f>
        <v/>
      </c>
      <c r="L306" s="297">
        <f>J306/F306</f>
        <v/>
      </c>
      <c r="M306" s="73" t="n"/>
    </row>
    <row r="307" hidden="1" ht="15" customHeight="1" s="272">
      <c r="A307" s="287" t="n"/>
      <c r="B307" s="287" t="n"/>
      <c r="C307" s="287" t="n"/>
      <c r="D307" s="208" t="inlineStr">
        <is>
          <t>5月</t>
        </is>
      </c>
      <c r="E307" s="360" t="n"/>
      <c r="F307" s="361" t="n"/>
      <c r="G307" s="362" t="n"/>
      <c r="H307" s="363" t="n"/>
      <c r="I307" s="364" t="n"/>
      <c r="J307" s="304">
        <f>G307+H307+I307</f>
        <v/>
      </c>
      <c r="K307" s="304">
        <f>J307/E307</f>
        <v/>
      </c>
      <c r="L307" s="304">
        <f>J307/F307</f>
        <v/>
      </c>
      <c r="M307" s="74" t="n"/>
    </row>
    <row r="308" hidden="1" ht="15" customHeight="1" s="272">
      <c r="A308" s="287" t="n"/>
      <c r="B308" s="287" t="n"/>
      <c r="C308" s="287" t="n"/>
      <c r="D308" s="208" t="inlineStr">
        <is>
          <t>6月</t>
        </is>
      </c>
      <c r="E308" s="360" t="n"/>
      <c r="F308" s="361" t="n"/>
      <c r="G308" s="362" t="n"/>
      <c r="H308" s="363" t="n"/>
      <c r="I308" s="364" t="n"/>
      <c r="J308" s="304">
        <f>G308+H308+I308</f>
        <v/>
      </c>
      <c r="K308" s="304">
        <f>J308/E308</f>
        <v/>
      </c>
      <c r="L308" s="304">
        <f>J308/F308</f>
        <v/>
      </c>
      <c r="M308" s="74" t="n"/>
    </row>
    <row r="309" hidden="1" ht="15" customHeight="1" s="272">
      <c r="A309" s="287" t="n"/>
      <c r="B309" s="287" t="n"/>
      <c r="C309" s="287" t="n"/>
      <c r="D309" s="208" t="inlineStr">
        <is>
          <t>7月</t>
        </is>
      </c>
      <c r="E309" s="360" t="n"/>
      <c r="F309" s="361" t="n"/>
      <c r="G309" s="362" t="n"/>
      <c r="H309" s="363" t="n"/>
      <c r="I309" s="364" t="n"/>
      <c r="J309" s="304">
        <f>G309+H309+I309</f>
        <v/>
      </c>
      <c r="K309" s="304">
        <f>J309/E309</f>
        <v/>
      </c>
      <c r="L309" s="304">
        <f>J309/F309</f>
        <v/>
      </c>
      <c r="M309" s="74" t="n"/>
    </row>
    <row r="310" hidden="1" ht="15" customHeight="1" s="272">
      <c r="A310" s="287" t="n"/>
      <c r="B310" s="287" t="n"/>
      <c r="C310" s="287" t="n"/>
      <c r="D310" s="208" t="inlineStr">
        <is>
          <t>8月</t>
        </is>
      </c>
      <c r="E310" s="360" t="n"/>
      <c r="F310" s="361" t="n"/>
      <c r="G310" s="362" t="n"/>
      <c r="H310" s="363" t="n"/>
      <c r="I310" s="364" t="n"/>
      <c r="J310" s="304">
        <f>G310+H310+I310</f>
        <v/>
      </c>
      <c r="K310" s="304">
        <f>J310/E310</f>
        <v/>
      </c>
      <c r="L310" s="304">
        <f>J310/F310</f>
        <v/>
      </c>
      <c r="M310" s="74" t="n"/>
    </row>
    <row r="311" hidden="1" ht="15" customHeight="1" s="272">
      <c r="A311" s="287" t="n"/>
      <c r="B311" s="287" t="n"/>
      <c r="C311" s="287" t="n"/>
      <c r="D311" s="208" t="inlineStr">
        <is>
          <t>9月</t>
        </is>
      </c>
      <c r="E311" s="360" t="n"/>
      <c r="F311" s="361" t="n"/>
      <c r="G311" s="362" t="n"/>
      <c r="H311" s="363" t="n"/>
      <c r="I311" s="364" t="n"/>
      <c r="J311" s="304">
        <f>G311+H311+I311</f>
        <v/>
      </c>
      <c r="K311" s="304">
        <f>J311/E311</f>
        <v/>
      </c>
      <c r="L311" s="304">
        <f>J311/F311</f>
        <v/>
      </c>
      <c r="M311" s="74" t="n"/>
    </row>
    <row r="312" hidden="1" ht="15" customHeight="1" s="272">
      <c r="A312" s="287" t="n"/>
      <c r="B312" s="287" t="n"/>
      <c r="C312" s="287" t="n"/>
      <c r="D312" s="208" t="inlineStr">
        <is>
          <t>10月</t>
        </is>
      </c>
      <c r="E312" s="360" t="n"/>
      <c r="F312" s="361" t="n"/>
      <c r="G312" s="362" t="n"/>
      <c r="H312" s="363" t="n"/>
      <c r="I312" s="364" t="n"/>
      <c r="J312" s="304">
        <f>G312+H312+I312</f>
        <v/>
      </c>
      <c r="K312" s="304">
        <f>J312/E312</f>
        <v/>
      </c>
      <c r="L312" s="304">
        <f>J312/F312</f>
        <v/>
      </c>
      <c r="M312" s="74" t="n"/>
    </row>
    <row r="313" hidden="1" ht="15" customHeight="1" s="272">
      <c r="A313" s="287" t="n"/>
      <c r="B313" s="287" t="n"/>
      <c r="C313" s="287" t="n"/>
      <c r="D313" s="208" t="inlineStr">
        <is>
          <t>11月</t>
        </is>
      </c>
      <c r="E313" s="360" t="n"/>
      <c r="F313" s="361" t="n"/>
      <c r="G313" s="362" t="n"/>
      <c r="H313" s="363" t="n"/>
      <c r="I313" s="364" t="n"/>
      <c r="J313" s="304">
        <f>G313+H313+I313</f>
        <v/>
      </c>
      <c r="K313" s="304">
        <f>J313/E313</f>
        <v/>
      </c>
      <c r="L313" s="304">
        <f>J313/F313</f>
        <v/>
      </c>
      <c r="M313" s="74" t="n"/>
    </row>
    <row r="314" hidden="1" ht="15" customHeight="1" s="272">
      <c r="A314" s="287" t="n"/>
      <c r="B314" s="287" t="n"/>
      <c r="C314" s="287" t="n"/>
      <c r="D314" s="208" t="inlineStr">
        <is>
          <t>12月</t>
        </is>
      </c>
      <c r="E314" s="360" t="n"/>
      <c r="F314" s="361" t="n"/>
      <c r="G314" s="362" t="n"/>
      <c r="H314" s="363" t="n"/>
      <c r="I314" s="364" t="n"/>
      <c r="J314" s="304">
        <f>G314+H314+I314</f>
        <v/>
      </c>
      <c r="K314" s="304">
        <f>J314/E314</f>
        <v/>
      </c>
      <c r="L314" s="304">
        <f>J314/F314</f>
        <v/>
      </c>
      <c r="M314" s="74" t="n"/>
    </row>
    <row r="315" hidden="1" ht="15" customHeight="1" s="272">
      <c r="A315" s="287" t="n"/>
      <c r="B315" s="287" t="n"/>
      <c r="C315" s="287" t="n"/>
      <c r="D315" s="208" t="inlineStr">
        <is>
          <t>1月</t>
        </is>
      </c>
      <c r="E315" s="360" t="n"/>
      <c r="F315" s="361" t="n"/>
      <c r="G315" s="362" t="n"/>
      <c r="H315" s="363" t="n"/>
      <c r="I315" s="364" t="n"/>
      <c r="J315" s="304">
        <f>G315+H315+I315</f>
        <v/>
      </c>
      <c r="K315" s="304">
        <f>J315/E315</f>
        <v/>
      </c>
      <c r="L315" s="304">
        <f>J315/F315</f>
        <v/>
      </c>
      <c r="M315" s="74" t="n"/>
    </row>
    <row r="316" hidden="1" ht="15" customHeight="1" s="272">
      <c r="A316" s="287" t="n"/>
      <c r="B316" s="287" t="n"/>
      <c r="C316" s="287" t="n"/>
      <c r="D316" s="208" t="inlineStr">
        <is>
          <t>2月</t>
        </is>
      </c>
      <c r="E316" s="360" t="n"/>
      <c r="F316" s="361" t="n"/>
      <c r="G316" s="362" t="n"/>
      <c r="H316" s="363" t="n"/>
      <c r="I316" s="364" t="n"/>
      <c r="J316" s="304">
        <f>G316+H316+I316</f>
        <v/>
      </c>
      <c r="K316" s="304">
        <f>J316/E316</f>
        <v/>
      </c>
      <c r="L316" s="304">
        <f>J316/F316</f>
        <v/>
      </c>
      <c r="M316" s="74" t="n"/>
    </row>
    <row r="317" hidden="1" ht="15" customHeight="1" s="272">
      <c r="A317" s="290" t="n"/>
      <c r="B317" s="290" t="n"/>
      <c r="C317" s="290" t="n"/>
      <c r="D317" s="211" t="inlineStr">
        <is>
          <t>3月</t>
        </is>
      </c>
      <c r="E317" s="365" t="n"/>
      <c r="F317" s="366" t="n"/>
      <c r="G317" s="367" t="n"/>
      <c r="H317" s="368" t="n"/>
      <c r="I317" s="369" t="n"/>
      <c r="J317" s="311">
        <f>G317+H317+I317</f>
        <v/>
      </c>
      <c r="K317" s="311">
        <f>J317/E317</f>
        <v/>
      </c>
      <c r="L317" s="311">
        <f>J317/F317</f>
        <v/>
      </c>
      <c r="M317" s="75" t="n"/>
    </row>
    <row r="318" hidden="1" ht="15" customHeight="1" s="272">
      <c r="A318" s="291" t="n">
        <v>27</v>
      </c>
      <c r="B318" s="84" t="n"/>
      <c r="C318" s="84" t="n"/>
      <c r="D318" s="205" t="inlineStr">
        <is>
          <t>4月</t>
        </is>
      </c>
      <c r="E318" s="355" t="n"/>
      <c r="F318" s="356" t="n"/>
      <c r="G318" s="357" t="n"/>
      <c r="H318" s="358" t="n"/>
      <c r="I318" s="359" t="n"/>
      <c r="J318" s="297">
        <f>G318+H318+I318</f>
        <v/>
      </c>
      <c r="K318" s="297">
        <f>J318/E318</f>
        <v/>
      </c>
      <c r="L318" s="297">
        <f>J318/F318</f>
        <v/>
      </c>
      <c r="M318" s="73" t="n"/>
    </row>
    <row r="319" hidden="1" ht="15" customHeight="1" s="272">
      <c r="A319" s="287" t="n"/>
      <c r="B319" s="287" t="n"/>
      <c r="C319" s="287" t="n"/>
      <c r="D319" s="208" t="inlineStr">
        <is>
          <t>5月</t>
        </is>
      </c>
      <c r="E319" s="360" t="n"/>
      <c r="F319" s="361" t="n"/>
      <c r="G319" s="362" t="n"/>
      <c r="H319" s="363" t="n"/>
      <c r="I319" s="364" t="n"/>
      <c r="J319" s="304">
        <f>G319+H319+I319</f>
        <v/>
      </c>
      <c r="K319" s="304">
        <f>J319/E319</f>
        <v/>
      </c>
      <c r="L319" s="304">
        <f>J319/F319</f>
        <v/>
      </c>
      <c r="M319" s="74" t="n"/>
    </row>
    <row r="320" hidden="1" ht="15" customHeight="1" s="272">
      <c r="A320" s="287" t="n"/>
      <c r="B320" s="287" t="n"/>
      <c r="C320" s="287" t="n"/>
      <c r="D320" s="208" t="inlineStr">
        <is>
          <t>6月</t>
        </is>
      </c>
      <c r="E320" s="360" t="n"/>
      <c r="F320" s="361" t="n"/>
      <c r="G320" s="362" t="n"/>
      <c r="H320" s="363" t="n"/>
      <c r="I320" s="364" t="n"/>
      <c r="J320" s="304">
        <f>G320+H320+I320</f>
        <v/>
      </c>
      <c r="K320" s="304">
        <f>J320/E320</f>
        <v/>
      </c>
      <c r="L320" s="304">
        <f>J320/F320</f>
        <v/>
      </c>
      <c r="M320" s="74" t="n"/>
    </row>
    <row r="321" hidden="1" ht="15" customHeight="1" s="272">
      <c r="A321" s="287" t="n"/>
      <c r="B321" s="287" t="n"/>
      <c r="C321" s="287" t="n"/>
      <c r="D321" s="208" t="inlineStr">
        <is>
          <t>7月</t>
        </is>
      </c>
      <c r="E321" s="360" t="n"/>
      <c r="F321" s="361" t="n"/>
      <c r="G321" s="362" t="n"/>
      <c r="H321" s="363" t="n"/>
      <c r="I321" s="364" t="n"/>
      <c r="J321" s="304">
        <f>G321+H321+I321</f>
        <v/>
      </c>
      <c r="K321" s="304">
        <f>J321/E321</f>
        <v/>
      </c>
      <c r="L321" s="304">
        <f>J321/F321</f>
        <v/>
      </c>
      <c r="M321" s="74" t="n"/>
    </row>
    <row r="322" hidden="1" ht="15" customHeight="1" s="272">
      <c r="A322" s="287" t="n"/>
      <c r="B322" s="287" t="n"/>
      <c r="C322" s="287" t="n"/>
      <c r="D322" s="208" t="inlineStr">
        <is>
          <t>8月</t>
        </is>
      </c>
      <c r="E322" s="360" t="n"/>
      <c r="F322" s="361" t="n"/>
      <c r="G322" s="362" t="n"/>
      <c r="H322" s="363" t="n"/>
      <c r="I322" s="364" t="n"/>
      <c r="J322" s="304">
        <f>G322+H322+I322</f>
        <v/>
      </c>
      <c r="K322" s="304">
        <f>J322/E322</f>
        <v/>
      </c>
      <c r="L322" s="304">
        <f>J322/F322</f>
        <v/>
      </c>
      <c r="M322" s="74" t="n"/>
    </row>
    <row r="323" hidden="1" ht="15" customHeight="1" s="272">
      <c r="A323" s="287" t="n"/>
      <c r="B323" s="287" t="n"/>
      <c r="C323" s="287" t="n"/>
      <c r="D323" s="208" t="inlineStr">
        <is>
          <t>9月</t>
        </is>
      </c>
      <c r="E323" s="360" t="n"/>
      <c r="F323" s="361" t="n"/>
      <c r="G323" s="362" t="n"/>
      <c r="H323" s="363" t="n"/>
      <c r="I323" s="364" t="n"/>
      <c r="J323" s="304">
        <f>G323+H323+I323</f>
        <v/>
      </c>
      <c r="K323" s="304">
        <f>J323/E323</f>
        <v/>
      </c>
      <c r="L323" s="304">
        <f>J323/F323</f>
        <v/>
      </c>
      <c r="M323" s="74" t="n"/>
    </row>
    <row r="324" hidden="1" ht="15" customHeight="1" s="272">
      <c r="A324" s="287" t="n"/>
      <c r="B324" s="287" t="n"/>
      <c r="C324" s="287" t="n"/>
      <c r="D324" s="208" t="inlineStr">
        <is>
          <t>10月</t>
        </is>
      </c>
      <c r="E324" s="360" t="n"/>
      <c r="F324" s="361" t="n"/>
      <c r="G324" s="362" t="n"/>
      <c r="H324" s="363" t="n"/>
      <c r="I324" s="364" t="n"/>
      <c r="J324" s="304">
        <f>G324+H324+I324</f>
        <v/>
      </c>
      <c r="K324" s="304">
        <f>J324/E324</f>
        <v/>
      </c>
      <c r="L324" s="304">
        <f>J324/F324</f>
        <v/>
      </c>
      <c r="M324" s="74" t="n"/>
    </row>
    <row r="325" hidden="1" ht="15" customHeight="1" s="272">
      <c r="A325" s="287" t="n"/>
      <c r="B325" s="287" t="n"/>
      <c r="C325" s="287" t="n"/>
      <c r="D325" s="208" t="inlineStr">
        <is>
          <t>11月</t>
        </is>
      </c>
      <c r="E325" s="360" t="n"/>
      <c r="F325" s="361" t="n"/>
      <c r="G325" s="362" t="n"/>
      <c r="H325" s="363" t="n"/>
      <c r="I325" s="364" t="n"/>
      <c r="J325" s="304">
        <f>G325+H325+I325</f>
        <v/>
      </c>
      <c r="K325" s="304">
        <f>J325/E325</f>
        <v/>
      </c>
      <c r="L325" s="304">
        <f>J325/F325</f>
        <v/>
      </c>
      <c r="M325" s="74" t="n"/>
    </row>
    <row r="326" hidden="1" ht="15" customHeight="1" s="272">
      <c r="A326" s="287" t="n"/>
      <c r="B326" s="287" t="n"/>
      <c r="C326" s="287" t="n"/>
      <c r="D326" s="208" t="inlineStr">
        <is>
          <t>12月</t>
        </is>
      </c>
      <c r="E326" s="360" t="n"/>
      <c r="F326" s="361" t="n"/>
      <c r="G326" s="362" t="n"/>
      <c r="H326" s="363" t="n"/>
      <c r="I326" s="364" t="n"/>
      <c r="J326" s="304">
        <f>G326+H326+I326</f>
        <v/>
      </c>
      <c r="K326" s="304">
        <f>J326/E326</f>
        <v/>
      </c>
      <c r="L326" s="304">
        <f>J326/F326</f>
        <v/>
      </c>
      <c r="M326" s="74" t="n"/>
    </row>
    <row r="327" hidden="1" ht="15" customHeight="1" s="272">
      <c r="A327" s="287" t="n"/>
      <c r="B327" s="287" t="n"/>
      <c r="C327" s="287" t="n"/>
      <c r="D327" s="208" t="inlineStr">
        <is>
          <t>1月</t>
        </is>
      </c>
      <c r="E327" s="360" t="n"/>
      <c r="F327" s="361" t="n"/>
      <c r="G327" s="362" t="n"/>
      <c r="H327" s="363" t="n"/>
      <c r="I327" s="364" t="n"/>
      <c r="J327" s="304">
        <f>G327+H327+I327</f>
        <v/>
      </c>
      <c r="K327" s="304">
        <f>J327/E327</f>
        <v/>
      </c>
      <c r="L327" s="304">
        <f>J327/F327</f>
        <v/>
      </c>
      <c r="M327" s="74" t="n"/>
    </row>
    <row r="328" hidden="1" ht="15" customHeight="1" s="272">
      <c r="A328" s="287" t="n"/>
      <c r="B328" s="287" t="n"/>
      <c r="C328" s="287" t="n"/>
      <c r="D328" s="208" t="inlineStr">
        <is>
          <t>2月</t>
        </is>
      </c>
      <c r="E328" s="360" t="n"/>
      <c r="F328" s="361" t="n"/>
      <c r="G328" s="362" t="n"/>
      <c r="H328" s="363" t="n"/>
      <c r="I328" s="364" t="n"/>
      <c r="J328" s="304">
        <f>G328+H328+I328</f>
        <v/>
      </c>
      <c r="K328" s="304">
        <f>J328/E328</f>
        <v/>
      </c>
      <c r="L328" s="304">
        <f>J328/F328</f>
        <v/>
      </c>
      <c r="M328" s="74" t="n"/>
    </row>
    <row r="329" hidden="1" ht="15" customHeight="1" s="272">
      <c r="A329" s="290" t="n"/>
      <c r="B329" s="290" t="n"/>
      <c r="C329" s="290" t="n"/>
      <c r="D329" s="211" t="inlineStr">
        <is>
          <t>3月</t>
        </is>
      </c>
      <c r="E329" s="365" t="n"/>
      <c r="F329" s="366" t="n"/>
      <c r="G329" s="367" t="n"/>
      <c r="H329" s="368" t="n"/>
      <c r="I329" s="369" t="n"/>
      <c r="J329" s="311">
        <f>G329+H329+I329</f>
        <v/>
      </c>
      <c r="K329" s="311">
        <f>J329/E329</f>
        <v/>
      </c>
      <c r="L329" s="311">
        <f>J329/F329</f>
        <v/>
      </c>
      <c r="M329" s="75" t="n"/>
    </row>
    <row r="330" hidden="1" ht="15" customHeight="1" s="272">
      <c r="A330" s="291" t="n">
        <v>28</v>
      </c>
      <c r="B330" s="84" t="n"/>
      <c r="C330" s="84" t="n"/>
      <c r="D330" s="205" t="inlineStr">
        <is>
          <t>4月</t>
        </is>
      </c>
      <c r="E330" s="355" t="n"/>
      <c r="F330" s="356" t="n"/>
      <c r="G330" s="357" t="n"/>
      <c r="H330" s="358" t="n"/>
      <c r="I330" s="359" t="n"/>
      <c r="J330" s="297">
        <f>G330+H330+I330</f>
        <v/>
      </c>
      <c r="K330" s="297">
        <f>J330/E330</f>
        <v/>
      </c>
      <c r="L330" s="297">
        <f>J330/F330</f>
        <v/>
      </c>
      <c r="M330" s="73" t="n"/>
    </row>
    <row r="331" hidden="1" ht="15" customHeight="1" s="272">
      <c r="A331" s="287" t="n"/>
      <c r="B331" s="287" t="n"/>
      <c r="C331" s="287" t="n"/>
      <c r="D331" s="208" t="inlineStr">
        <is>
          <t>5月</t>
        </is>
      </c>
      <c r="E331" s="360" t="n"/>
      <c r="F331" s="361" t="n"/>
      <c r="G331" s="362" t="n"/>
      <c r="H331" s="363" t="n"/>
      <c r="I331" s="364" t="n"/>
      <c r="J331" s="304">
        <f>G331+H331+I331</f>
        <v/>
      </c>
      <c r="K331" s="304">
        <f>J331/E331</f>
        <v/>
      </c>
      <c r="L331" s="304">
        <f>J331/F331</f>
        <v/>
      </c>
      <c r="M331" s="74" t="n"/>
    </row>
    <row r="332" hidden="1" ht="15" customHeight="1" s="272">
      <c r="A332" s="287" t="n"/>
      <c r="B332" s="287" t="n"/>
      <c r="C332" s="287" t="n"/>
      <c r="D332" s="208" t="inlineStr">
        <is>
          <t>6月</t>
        </is>
      </c>
      <c r="E332" s="360" t="n"/>
      <c r="F332" s="361" t="n"/>
      <c r="G332" s="362" t="n"/>
      <c r="H332" s="363" t="n"/>
      <c r="I332" s="364" t="n"/>
      <c r="J332" s="304">
        <f>G332+H332+I332</f>
        <v/>
      </c>
      <c r="K332" s="304">
        <f>J332/E332</f>
        <v/>
      </c>
      <c r="L332" s="304">
        <f>J332/F332</f>
        <v/>
      </c>
      <c r="M332" s="74" t="n"/>
    </row>
    <row r="333" hidden="1" ht="15" customHeight="1" s="272">
      <c r="A333" s="287" t="n"/>
      <c r="B333" s="287" t="n"/>
      <c r="C333" s="287" t="n"/>
      <c r="D333" s="208" t="inlineStr">
        <is>
          <t>7月</t>
        </is>
      </c>
      <c r="E333" s="360" t="n"/>
      <c r="F333" s="361" t="n"/>
      <c r="G333" s="362" t="n"/>
      <c r="H333" s="363" t="n"/>
      <c r="I333" s="364" t="n"/>
      <c r="J333" s="304">
        <f>G333+H333+I333</f>
        <v/>
      </c>
      <c r="K333" s="304">
        <f>J333/E333</f>
        <v/>
      </c>
      <c r="L333" s="304">
        <f>J333/F333</f>
        <v/>
      </c>
      <c r="M333" s="74" t="n"/>
    </row>
    <row r="334" hidden="1" ht="15" customHeight="1" s="272">
      <c r="A334" s="287" t="n"/>
      <c r="B334" s="287" t="n"/>
      <c r="C334" s="287" t="n"/>
      <c r="D334" s="208" t="inlineStr">
        <is>
          <t>8月</t>
        </is>
      </c>
      <c r="E334" s="360" t="n"/>
      <c r="F334" s="361" t="n"/>
      <c r="G334" s="362" t="n"/>
      <c r="H334" s="363" t="n"/>
      <c r="I334" s="364" t="n"/>
      <c r="J334" s="304">
        <f>G334+H334+I334</f>
        <v/>
      </c>
      <c r="K334" s="304">
        <f>J334/E334</f>
        <v/>
      </c>
      <c r="L334" s="304">
        <f>J334/F334</f>
        <v/>
      </c>
      <c r="M334" s="74" t="n"/>
    </row>
    <row r="335" hidden="1" ht="15" customHeight="1" s="272">
      <c r="A335" s="287" t="n"/>
      <c r="B335" s="287" t="n"/>
      <c r="C335" s="287" t="n"/>
      <c r="D335" s="208" t="inlineStr">
        <is>
          <t>9月</t>
        </is>
      </c>
      <c r="E335" s="360" t="n"/>
      <c r="F335" s="361" t="n"/>
      <c r="G335" s="362" t="n"/>
      <c r="H335" s="363" t="n"/>
      <c r="I335" s="364" t="n"/>
      <c r="J335" s="304">
        <f>G335+H335+I335</f>
        <v/>
      </c>
      <c r="K335" s="304">
        <f>J335/E335</f>
        <v/>
      </c>
      <c r="L335" s="304">
        <f>J335/F335</f>
        <v/>
      </c>
      <c r="M335" s="74" t="n"/>
    </row>
    <row r="336" hidden="1" ht="15" customHeight="1" s="272">
      <c r="A336" s="287" t="n"/>
      <c r="B336" s="287" t="n"/>
      <c r="C336" s="287" t="n"/>
      <c r="D336" s="208" t="inlineStr">
        <is>
          <t>10月</t>
        </is>
      </c>
      <c r="E336" s="360" t="n"/>
      <c r="F336" s="361" t="n"/>
      <c r="G336" s="362" t="n"/>
      <c r="H336" s="363" t="n"/>
      <c r="I336" s="364" t="n"/>
      <c r="J336" s="304">
        <f>G336+H336+I336</f>
        <v/>
      </c>
      <c r="K336" s="304">
        <f>J336/E336</f>
        <v/>
      </c>
      <c r="L336" s="304">
        <f>J336/F336</f>
        <v/>
      </c>
      <c r="M336" s="74" t="n"/>
    </row>
    <row r="337" hidden="1" ht="15" customHeight="1" s="272">
      <c r="A337" s="287" t="n"/>
      <c r="B337" s="287" t="n"/>
      <c r="C337" s="287" t="n"/>
      <c r="D337" s="208" t="inlineStr">
        <is>
          <t>11月</t>
        </is>
      </c>
      <c r="E337" s="360" t="n"/>
      <c r="F337" s="361" t="n"/>
      <c r="G337" s="362" t="n"/>
      <c r="H337" s="363" t="n"/>
      <c r="I337" s="364" t="n"/>
      <c r="J337" s="304">
        <f>G337+H337+I337</f>
        <v/>
      </c>
      <c r="K337" s="304">
        <f>J337/E337</f>
        <v/>
      </c>
      <c r="L337" s="304">
        <f>J337/F337</f>
        <v/>
      </c>
      <c r="M337" s="74" t="n"/>
    </row>
    <row r="338" hidden="1" ht="15" customHeight="1" s="272">
      <c r="A338" s="287" t="n"/>
      <c r="B338" s="287" t="n"/>
      <c r="C338" s="287" t="n"/>
      <c r="D338" s="208" t="inlineStr">
        <is>
          <t>12月</t>
        </is>
      </c>
      <c r="E338" s="360" t="n"/>
      <c r="F338" s="361" t="n"/>
      <c r="G338" s="362" t="n"/>
      <c r="H338" s="363" t="n"/>
      <c r="I338" s="364" t="n"/>
      <c r="J338" s="304">
        <f>G338+H338+I338</f>
        <v/>
      </c>
      <c r="K338" s="304">
        <f>J338/E338</f>
        <v/>
      </c>
      <c r="L338" s="304">
        <f>J338/F338</f>
        <v/>
      </c>
      <c r="M338" s="74" t="n"/>
    </row>
    <row r="339" hidden="1" ht="15" customHeight="1" s="272">
      <c r="A339" s="287" t="n"/>
      <c r="B339" s="287" t="n"/>
      <c r="C339" s="287" t="n"/>
      <c r="D339" s="208" t="inlineStr">
        <is>
          <t>1月</t>
        </is>
      </c>
      <c r="E339" s="360" t="n"/>
      <c r="F339" s="361" t="n"/>
      <c r="G339" s="362" t="n"/>
      <c r="H339" s="363" t="n"/>
      <c r="I339" s="364" t="n"/>
      <c r="J339" s="304">
        <f>G339+H339+I339</f>
        <v/>
      </c>
      <c r="K339" s="304">
        <f>J339/E339</f>
        <v/>
      </c>
      <c r="L339" s="304">
        <f>J339/F339</f>
        <v/>
      </c>
      <c r="M339" s="74" t="n"/>
    </row>
    <row r="340" hidden="1" ht="15" customHeight="1" s="272">
      <c r="A340" s="287" t="n"/>
      <c r="B340" s="287" t="n"/>
      <c r="C340" s="287" t="n"/>
      <c r="D340" s="208" t="inlineStr">
        <is>
          <t>2月</t>
        </is>
      </c>
      <c r="E340" s="360" t="n"/>
      <c r="F340" s="361" t="n"/>
      <c r="G340" s="362" t="n"/>
      <c r="H340" s="363" t="n"/>
      <c r="I340" s="364" t="n"/>
      <c r="J340" s="304">
        <f>G340+H340+I340</f>
        <v/>
      </c>
      <c r="K340" s="304">
        <f>J340/E340</f>
        <v/>
      </c>
      <c r="L340" s="304">
        <f>J340/F340</f>
        <v/>
      </c>
      <c r="M340" s="74" t="n"/>
    </row>
    <row r="341" hidden="1" ht="15" customHeight="1" s="272">
      <c r="A341" s="290" t="n"/>
      <c r="B341" s="290" t="n"/>
      <c r="C341" s="290" t="n"/>
      <c r="D341" s="211" t="inlineStr">
        <is>
          <t>3月</t>
        </is>
      </c>
      <c r="E341" s="365" t="n"/>
      <c r="F341" s="366" t="n"/>
      <c r="G341" s="367" t="n"/>
      <c r="H341" s="368" t="n"/>
      <c r="I341" s="369" t="n"/>
      <c r="J341" s="311">
        <f>G341+H341+I341</f>
        <v/>
      </c>
      <c r="K341" s="311">
        <f>J341/E341</f>
        <v/>
      </c>
      <c r="L341" s="311">
        <f>J341/F341</f>
        <v/>
      </c>
      <c r="M341" s="75" t="n"/>
    </row>
    <row r="342" hidden="1" ht="15" customHeight="1" s="272">
      <c r="A342" s="291" t="n">
        <v>29</v>
      </c>
      <c r="B342" s="84" t="n"/>
      <c r="C342" s="84" t="n"/>
      <c r="D342" s="205" t="inlineStr">
        <is>
          <t>4月</t>
        </is>
      </c>
      <c r="E342" s="355" t="n"/>
      <c r="F342" s="356" t="n"/>
      <c r="G342" s="357" t="n"/>
      <c r="H342" s="358" t="n"/>
      <c r="I342" s="359" t="n"/>
      <c r="J342" s="297">
        <f>G342+H342+I342</f>
        <v/>
      </c>
      <c r="K342" s="297">
        <f>J342/E342</f>
        <v/>
      </c>
      <c r="L342" s="297">
        <f>J342/F342</f>
        <v/>
      </c>
      <c r="M342" s="73" t="n"/>
    </row>
    <row r="343" hidden="1" ht="15" customHeight="1" s="272">
      <c r="A343" s="287" t="n"/>
      <c r="B343" s="287" t="n"/>
      <c r="C343" s="287" t="n"/>
      <c r="D343" s="208" t="inlineStr">
        <is>
          <t>5月</t>
        </is>
      </c>
      <c r="E343" s="360" t="n"/>
      <c r="F343" s="361" t="n"/>
      <c r="G343" s="362" t="n"/>
      <c r="H343" s="363" t="n"/>
      <c r="I343" s="364" t="n"/>
      <c r="J343" s="304">
        <f>G343+H343+I343</f>
        <v/>
      </c>
      <c r="K343" s="304">
        <f>J343/E343</f>
        <v/>
      </c>
      <c r="L343" s="304">
        <f>J343/F343</f>
        <v/>
      </c>
      <c r="M343" s="74" t="n"/>
    </row>
    <row r="344" hidden="1" ht="15" customHeight="1" s="272">
      <c r="A344" s="287" t="n"/>
      <c r="B344" s="287" t="n"/>
      <c r="C344" s="287" t="n"/>
      <c r="D344" s="208" t="inlineStr">
        <is>
          <t>6月</t>
        </is>
      </c>
      <c r="E344" s="360" t="n"/>
      <c r="F344" s="361" t="n"/>
      <c r="G344" s="362" t="n"/>
      <c r="H344" s="363" t="n"/>
      <c r="I344" s="364" t="n"/>
      <c r="J344" s="304">
        <f>G344+H344+I344</f>
        <v/>
      </c>
      <c r="K344" s="304">
        <f>J344/E344</f>
        <v/>
      </c>
      <c r="L344" s="304">
        <f>J344/F344</f>
        <v/>
      </c>
      <c r="M344" s="74" t="n"/>
    </row>
    <row r="345" hidden="1" ht="15" customHeight="1" s="272">
      <c r="A345" s="287" t="n"/>
      <c r="B345" s="287" t="n"/>
      <c r="C345" s="287" t="n"/>
      <c r="D345" s="208" t="inlineStr">
        <is>
          <t>7月</t>
        </is>
      </c>
      <c r="E345" s="360" t="n"/>
      <c r="F345" s="361" t="n"/>
      <c r="G345" s="362" t="n"/>
      <c r="H345" s="363" t="n"/>
      <c r="I345" s="364" t="n"/>
      <c r="J345" s="304">
        <f>G345+H345+I345</f>
        <v/>
      </c>
      <c r="K345" s="304">
        <f>J345/E345</f>
        <v/>
      </c>
      <c r="L345" s="304">
        <f>J345/F345</f>
        <v/>
      </c>
      <c r="M345" s="74" t="n"/>
    </row>
    <row r="346" hidden="1" ht="15" customHeight="1" s="272">
      <c r="A346" s="287" t="n"/>
      <c r="B346" s="287" t="n"/>
      <c r="C346" s="287" t="n"/>
      <c r="D346" s="208" t="inlineStr">
        <is>
          <t>8月</t>
        </is>
      </c>
      <c r="E346" s="360" t="n"/>
      <c r="F346" s="361" t="n"/>
      <c r="G346" s="362" t="n"/>
      <c r="H346" s="363" t="n"/>
      <c r="I346" s="364" t="n"/>
      <c r="J346" s="304">
        <f>G346+H346+I346</f>
        <v/>
      </c>
      <c r="K346" s="304">
        <f>J346/E346</f>
        <v/>
      </c>
      <c r="L346" s="304">
        <f>J346/F346</f>
        <v/>
      </c>
      <c r="M346" s="74" t="n"/>
    </row>
    <row r="347" hidden="1" ht="15" customHeight="1" s="272">
      <c r="A347" s="287" t="n"/>
      <c r="B347" s="287" t="n"/>
      <c r="C347" s="287" t="n"/>
      <c r="D347" s="208" t="inlineStr">
        <is>
          <t>9月</t>
        </is>
      </c>
      <c r="E347" s="360" t="n"/>
      <c r="F347" s="361" t="n"/>
      <c r="G347" s="362" t="n"/>
      <c r="H347" s="363" t="n"/>
      <c r="I347" s="364" t="n"/>
      <c r="J347" s="304">
        <f>G347+H347+I347</f>
        <v/>
      </c>
      <c r="K347" s="304">
        <f>J347/E347</f>
        <v/>
      </c>
      <c r="L347" s="304">
        <f>J347/F347</f>
        <v/>
      </c>
      <c r="M347" s="74" t="n"/>
    </row>
    <row r="348" hidden="1" ht="15" customHeight="1" s="272">
      <c r="A348" s="287" t="n"/>
      <c r="B348" s="287" t="n"/>
      <c r="C348" s="287" t="n"/>
      <c r="D348" s="208" t="inlineStr">
        <is>
          <t>10月</t>
        </is>
      </c>
      <c r="E348" s="360" t="n"/>
      <c r="F348" s="361" t="n"/>
      <c r="G348" s="362" t="n"/>
      <c r="H348" s="363" t="n"/>
      <c r="I348" s="364" t="n"/>
      <c r="J348" s="304">
        <f>G348+H348+I348</f>
        <v/>
      </c>
      <c r="K348" s="304">
        <f>J348/E348</f>
        <v/>
      </c>
      <c r="L348" s="304">
        <f>J348/F348</f>
        <v/>
      </c>
      <c r="M348" s="74" t="n"/>
    </row>
    <row r="349" hidden="1" ht="15" customHeight="1" s="272">
      <c r="A349" s="287" t="n"/>
      <c r="B349" s="287" t="n"/>
      <c r="C349" s="287" t="n"/>
      <c r="D349" s="208" t="inlineStr">
        <is>
          <t>11月</t>
        </is>
      </c>
      <c r="E349" s="360" t="n"/>
      <c r="F349" s="361" t="n"/>
      <c r="G349" s="362" t="n"/>
      <c r="H349" s="363" t="n"/>
      <c r="I349" s="364" t="n"/>
      <c r="J349" s="304">
        <f>G349+H349+I349</f>
        <v/>
      </c>
      <c r="K349" s="304">
        <f>J349/E349</f>
        <v/>
      </c>
      <c r="L349" s="304">
        <f>J349/F349</f>
        <v/>
      </c>
      <c r="M349" s="74" t="n"/>
    </row>
    <row r="350" hidden="1" ht="15" customHeight="1" s="272">
      <c r="A350" s="287" t="n"/>
      <c r="B350" s="287" t="n"/>
      <c r="C350" s="287" t="n"/>
      <c r="D350" s="208" t="inlineStr">
        <is>
          <t>12月</t>
        </is>
      </c>
      <c r="E350" s="360" t="n"/>
      <c r="F350" s="361" t="n"/>
      <c r="G350" s="362" t="n"/>
      <c r="H350" s="363" t="n"/>
      <c r="I350" s="364" t="n"/>
      <c r="J350" s="304">
        <f>G350+H350+I350</f>
        <v/>
      </c>
      <c r="K350" s="304">
        <f>J350/E350</f>
        <v/>
      </c>
      <c r="L350" s="304">
        <f>J350/F350</f>
        <v/>
      </c>
      <c r="M350" s="74" t="n"/>
    </row>
    <row r="351" hidden="1" ht="15" customHeight="1" s="272">
      <c r="A351" s="287" t="n"/>
      <c r="B351" s="287" t="n"/>
      <c r="C351" s="287" t="n"/>
      <c r="D351" s="208" t="inlineStr">
        <is>
          <t>1月</t>
        </is>
      </c>
      <c r="E351" s="360" t="n"/>
      <c r="F351" s="361" t="n"/>
      <c r="G351" s="362" t="n"/>
      <c r="H351" s="363" t="n"/>
      <c r="I351" s="364" t="n"/>
      <c r="J351" s="304">
        <f>G351+H351+I351</f>
        <v/>
      </c>
      <c r="K351" s="304">
        <f>J351/E351</f>
        <v/>
      </c>
      <c r="L351" s="304">
        <f>J351/F351</f>
        <v/>
      </c>
      <c r="M351" s="74" t="n"/>
    </row>
    <row r="352" hidden="1" ht="15" customHeight="1" s="272">
      <c r="A352" s="287" t="n"/>
      <c r="B352" s="287" t="n"/>
      <c r="C352" s="287" t="n"/>
      <c r="D352" s="208" t="inlineStr">
        <is>
          <t>2月</t>
        </is>
      </c>
      <c r="E352" s="360" t="n"/>
      <c r="F352" s="361" t="n"/>
      <c r="G352" s="362" t="n"/>
      <c r="H352" s="363" t="n"/>
      <c r="I352" s="364" t="n"/>
      <c r="J352" s="304">
        <f>G352+H352+I352</f>
        <v/>
      </c>
      <c r="K352" s="304">
        <f>J352/E352</f>
        <v/>
      </c>
      <c r="L352" s="304">
        <f>J352/F352</f>
        <v/>
      </c>
      <c r="M352" s="74" t="n"/>
    </row>
    <row r="353" hidden="1" ht="15" customHeight="1" s="272">
      <c r="A353" s="290" t="n"/>
      <c r="B353" s="290" t="n"/>
      <c r="C353" s="290" t="n"/>
      <c r="D353" s="211" t="inlineStr">
        <is>
          <t>3月</t>
        </is>
      </c>
      <c r="E353" s="365" t="n"/>
      <c r="F353" s="366" t="n"/>
      <c r="G353" s="367" t="n"/>
      <c r="H353" s="368" t="n"/>
      <c r="I353" s="369" t="n"/>
      <c r="J353" s="311">
        <f>G353+H353+I353</f>
        <v/>
      </c>
      <c r="K353" s="311">
        <f>J353/E353</f>
        <v/>
      </c>
      <c r="L353" s="311">
        <f>J353/F353</f>
        <v/>
      </c>
      <c r="M353" s="75" t="n"/>
    </row>
    <row r="354" ht="15.75" customHeight="1" s="272">
      <c r="A354" s="178" t="inlineStr">
        <is>
          <t>合　計</t>
        </is>
      </c>
      <c r="B354" s="282" t="n"/>
      <c r="C354" s="284" t="n"/>
      <c r="D354" s="217" t="n"/>
      <c r="E354" s="313" t="n"/>
      <c r="F354" s="314" t="n"/>
      <c r="G354" s="315" t="n"/>
      <c r="H354" s="316" t="n"/>
      <c r="I354" s="315" t="n"/>
      <c r="J354" s="317" t="n"/>
      <c r="K354" s="223" t="n"/>
      <c r="L354" s="224" t="n"/>
      <c r="M354" s="224" t="n"/>
    </row>
    <row r="355" ht="15.75" customHeight="1" s="272">
      <c r="A355" s="288" t="n"/>
      <c r="B355" s="289" t="n"/>
      <c r="C355" s="274" t="n"/>
      <c r="D355" s="228" t="n"/>
      <c r="E355" s="318">
        <f>SUM(E6:E353)</f>
        <v/>
      </c>
      <c r="F355" s="319">
        <f>SUM(F6:F353)</f>
        <v/>
      </c>
      <c r="G355" s="320" t="n"/>
      <c r="H355" s="321" t="n"/>
      <c r="I355" s="320" t="n"/>
      <c r="J355" s="322">
        <f>SUM(J6:J353)</f>
        <v/>
      </c>
      <c r="K355" s="234" t="inlineStr">
        <is>
          <t>←①</t>
        </is>
      </c>
      <c r="L355" s="235" t="n"/>
      <c r="M355" s="235" t="n"/>
    </row>
    <row r="356" ht="15.75" customHeight="1" s="272">
      <c r="D356" s="236" t="n"/>
      <c r="E356" s="236" t="inlineStr">
        <is>
          <t>↑</t>
        </is>
      </c>
      <c r="F356" s="236" t="inlineStr">
        <is>
          <t>↑</t>
        </is>
      </c>
      <c r="H356" s="323" t="inlineStr">
        <is>
          <t>延べ工賃支払月数</t>
        </is>
      </c>
      <c r="I356" s="284" t="n"/>
      <c r="J356" s="224" t="n"/>
    </row>
    <row r="357" ht="15.75" customHeight="1" s="272">
      <c r="D357" s="236" t="n"/>
      <c r="E357" s="236" t="inlineStr">
        <is>
          <t>③</t>
        </is>
      </c>
      <c r="F357" s="236" t="inlineStr">
        <is>
          <t>④</t>
        </is>
      </c>
      <c r="H357" s="324" t="inlineStr">
        <is>
          <t xml:space="preserve">　利用者に工賃の支払い
　があった月数の合計</t>
        </is>
      </c>
      <c r="I357" s="325" t="n"/>
      <c r="J357" s="326">
        <f>COUNTIF(J6:J353,"&gt;0")</f>
        <v/>
      </c>
      <c r="K357" s="170" t="inlineStr">
        <is>
          <t>←②</t>
        </is>
      </c>
    </row>
    <row r="358" ht="15.75" customHeight="1" s="272">
      <c r="D358" s="236" t="n"/>
      <c r="H358" s="288" t="n"/>
      <c r="I358" s="274" t="n"/>
      <c r="J358" s="235" t="n"/>
    </row>
    <row r="359" ht="15.75" customHeight="1" s="272">
      <c r="D359" s="236" t="n"/>
    </row>
    <row r="360" ht="15.75" customHeight="1" s="272">
      <c r="D360" s="236" t="n"/>
      <c r="E360" s="242" t="inlineStr">
        <is>
          <t>◆事業所の平均工賃の状況</t>
        </is>
      </c>
      <c r="F360" s="289" t="n"/>
      <c r="G360" s="289" t="n"/>
    </row>
    <row r="361" ht="15.75" customHeight="1" s="272">
      <c r="D361" s="236" t="n"/>
      <c r="E361" s="327" t="inlineStr">
        <is>
          <t>①工賃総支給額</t>
        </is>
      </c>
      <c r="F361" s="277" t="n"/>
      <c r="G361" s="328">
        <f>J355</f>
        <v/>
      </c>
      <c r="H361" s="329" t="inlineStr">
        <is>
          <t>⑤開所月数</t>
        </is>
      </c>
      <c r="I361" s="277" t="n"/>
      <c r="J361" s="330">
        <f>G2</f>
        <v/>
      </c>
    </row>
    <row r="362" ht="15.75" customHeight="1" s="272">
      <c r="D362" s="236" t="n"/>
      <c r="E362" s="327" t="inlineStr">
        <is>
          <t>②延べ工賃支払月数</t>
        </is>
      </c>
      <c r="F362" s="277" t="n"/>
      <c r="G362" s="330">
        <f>COUNTIF(J6:J353,"&gt;0")</f>
        <v/>
      </c>
      <c r="H362" s="329" t="inlineStr">
        <is>
          <t>⑥年間開所日数</t>
        </is>
      </c>
      <c r="I362" s="277" t="n"/>
      <c r="J362" s="330">
        <f>K2</f>
        <v/>
      </c>
      <c r="K362" s="250" t="inlineStr">
        <is>
          <t>平均工賃月額</t>
        </is>
      </c>
      <c r="L362" s="277" t="n"/>
      <c r="M362" s="330">
        <f>ROUND((G361/J363/J361),0)</f>
        <v/>
      </c>
    </row>
    <row r="363" ht="15.75" customHeight="1" s="272">
      <c r="D363" s="236" t="n"/>
      <c r="E363" s="327" t="inlineStr">
        <is>
          <t>③延べ利用者数</t>
        </is>
      </c>
      <c r="F363" s="277" t="n"/>
      <c r="G363" s="330">
        <f>SUM(E6:E353)</f>
        <v/>
      </c>
      <c r="H363" s="252" t="inlineStr">
        <is>
          <t>開所日1日当たりの平均利用者数</t>
        </is>
      </c>
      <c r="I363" s="284" t="n"/>
      <c r="J363" s="253">
        <f>ROUNDUP((G363/J362),1)</f>
        <v/>
      </c>
      <c r="K363" s="332" t="inlineStr">
        <is>
          <t>平均工賃日額</t>
        </is>
      </c>
      <c r="L363" s="277" t="n"/>
      <c r="M363" s="331">
        <f>G361/G363</f>
        <v/>
      </c>
    </row>
    <row r="364" ht="15.75" customHeight="1" s="272">
      <c r="D364" s="236" t="n"/>
      <c r="E364" s="327" t="inlineStr">
        <is>
          <t>④延べ作業時間数</t>
        </is>
      </c>
      <c r="F364" s="277" t="n"/>
      <c r="G364" s="333">
        <f>SUM(F6:F353)</f>
        <v/>
      </c>
      <c r="H364" s="288" t="n"/>
      <c r="I364" s="274" t="n"/>
      <c r="J364" s="290" t="n"/>
      <c r="K364" s="332" t="inlineStr">
        <is>
          <t>平均工賃時間額</t>
        </is>
      </c>
      <c r="L364" s="277" t="n"/>
      <c r="M364" s="331">
        <f>G361/G364</f>
        <v/>
      </c>
    </row>
    <row r="365" ht="15.75" customHeight="1" s="272">
      <c r="D365" s="236" t="n"/>
      <c r="G365" s="334" t="n"/>
      <c r="H365" s="236" t="n"/>
      <c r="I365" s="236" t="n"/>
      <c r="J365" s="334" t="n"/>
    </row>
    <row r="366" ht="7.5" customHeight="1" s="272">
      <c r="D366" s="236" t="n"/>
    </row>
    <row r="367" ht="15.75" customHeight="1" s="272"/>
    <row r="368" ht="15.75" customHeight="1" s="272"/>
    <row r="369" ht="15.75" customHeight="1" s="272"/>
    <row r="370" ht="15.75" customHeight="1" s="272">
      <c r="A370" s="335" t="n"/>
      <c r="B370" s="336" t="n"/>
      <c r="C370" s="336" t="n"/>
      <c r="D370" s="261" t="inlineStr">
        <is>
          <t>4月</t>
        </is>
      </c>
      <c r="E370" s="337" t="n"/>
      <c r="F370" s="338" t="n"/>
      <c r="G370" s="339" t="n"/>
      <c r="H370" s="340" t="n"/>
      <c r="I370" s="341" t="n"/>
      <c r="J370" s="342">
        <f>G370+H370+I370</f>
        <v/>
      </c>
      <c r="K370" s="342">
        <f>J370/E370</f>
        <v/>
      </c>
      <c r="L370" s="342">
        <f>J370/F370</f>
        <v/>
      </c>
      <c r="M370" s="34" t="n"/>
    </row>
    <row r="371" ht="15.75" customHeight="1" s="272">
      <c r="A371" s="287" t="n"/>
      <c r="B371" s="287" t="n"/>
      <c r="C371" s="287" t="n"/>
      <c r="D371" s="266" t="inlineStr">
        <is>
          <t>5月</t>
        </is>
      </c>
      <c r="E371" s="343" t="n"/>
      <c r="F371" s="344" t="n"/>
      <c r="G371" s="345" t="n"/>
      <c r="H371" s="346" t="n"/>
      <c r="I371" s="347" t="n"/>
      <c r="J371" s="348">
        <f>G371+H371+I371</f>
        <v/>
      </c>
      <c r="K371" s="348">
        <f>J371/E371</f>
        <v/>
      </c>
      <c r="L371" s="348">
        <f>J371/F371</f>
        <v/>
      </c>
      <c r="M371" s="35" t="n"/>
    </row>
    <row r="372" ht="15.75" customHeight="1" s="272">
      <c r="A372" s="287" t="n"/>
      <c r="B372" s="287" t="n"/>
      <c r="C372" s="287" t="n"/>
      <c r="D372" s="266" t="inlineStr">
        <is>
          <t>6月</t>
        </is>
      </c>
      <c r="E372" s="343" t="n"/>
      <c r="F372" s="344" t="n"/>
      <c r="G372" s="345" t="n"/>
      <c r="H372" s="346" t="n"/>
      <c r="I372" s="347" t="n"/>
      <c r="J372" s="348">
        <f>G372+H372+I372</f>
        <v/>
      </c>
      <c r="K372" s="348">
        <f>J372/E372</f>
        <v/>
      </c>
      <c r="L372" s="348">
        <f>J372/F372</f>
        <v/>
      </c>
      <c r="M372" s="35" t="n"/>
    </row>
    <row r="373" ht="15.75" customHeight="1" s="272">
      <c r="A373" s="287" t="n"/>
      <c r="B373" s="287" t="n"/>
      <c r="C373" s="287" t="n"/>
      <c r="D373" s="266" t="inlineStr">
        <is>
          <t>7月</t>
        </is>
      </c>
      <c r="E373" s="343" t="n"/>
      <c r="F373" s="344" t="n"/>
      <c r="G373" s="345" t="n"/>
      <c r="H373" s="346" t="n"/>
      <c r="I373" s="347" t="n"/>
      <c r="J373" s="348">
        <f>G373+H373+I373</f>
        <v/>
      </c>
      <c r="K373" s="348">
        <f>J373/E373</f>
        <v/>
      </c>
      <c r="L373" s="348">
        <f>J373/F373</f>
        <v/>
      </c>
      <c r="M373" s="35" t="n"/>
    </row>
    <row r="374" ht="15.75" customHeight="1" s="272">
      <c r="A374" s="287" t="n"/>
      <c r="B374" s="287" t="n"/>
      <c r="C374" s="287" t="n"/>
      <c r="D374" s="266" t="inlineStr">
        <is>
          <t>8月</t>
        </is>
      </c>
      <c r="E374" s="343" t="n"/>
      <c r="F374" s="344" t="n"/>
      <c r="G374" s="345" t="n"/>
      <c r="H374" s="346" t="n"/>
      <c r="I374" s="347" t="n"/>
      <c r="J374" s="348">
        <f>G374+H374+I374</f>
        <v/>
      </c>
      <c r="K374" s="348">
        <f>J374/E374</f>
        <v/>
      </c>
      <c r="L374" s="348">
        <f>J374/F374</f>
        <v/>
      </c>
      <c r="M374" s="35" t="n"/>
    </row>
    <row r="375" ht="15.75" customHeight="1" s="272">
      <c r="A375" s="287" t="n"/>
      <c r="B375" s="287" t="n"/>
      <c r="C375" s="287" t="n"/>
      <c r="D375" s="266" t="inlineStr">
        <is>
          <t>9月</t>
        </is>
      </c>
      <c r="E375" s="343" t="n"/>
      <c r="F375" s="344" t="n"/>
      <c r="G375" s="345" t="n"/>
      <c r="H375" s="346" t="n"/>
      <c r="I375" s="347" t="n"/>
      <c r="J375" s="348">
        <f>G375+H375+I375</f>
        <v/>
      </c>
      <c r="K375" s="348">
        <f>J375/E375</f>
        <v/>
      </c>
      <c r="L375" s="348">
        <f>J375/F375</f>
        <v/>
      </c>
      <c r="M375" s="35" t="n"/>
    </row>
    <row r="376" ht="15.75" customHeight="1" s="272">
      <c r="A376" s="287" t="n"/>
      <c r="B376" s="287" t="n"/>
      <c r="C376" s="287" t="n"/>
      <c r="D376" s="266" t="inlineStr">
        <is>
          <t>10月</t>
        </is>
      </c>
      <c r="E376" s="343" t="n"/>
      <c r="F376" s="344" t="n"/>
      <c r="G376" s="345" t="n"/>
      <c r="H376" s="346" t="n"/>
      <c r="I376" s="347" t="n"/>
      <c r="J376" s="348">
        <f>G376+H376+I376</f>
        <v/>
      </c>
      <c r="K376" s="348">
        <f>J376/E376</f>
        <v/>
      </c>
      <c r="L376" s="348">
        <f>J376/F376</f>
        <v/>
      </c>
      <c r="M376" s="35" t="n"/>
    </row>
    <row r="377" ht="15.75" customHeight="1" s="272">
      <c r="A377" s="287" t="n"/>
      <c r="B377" s="287" t="n"/>
      <c r="C377" s="287" t="n"/>
      <c r="D377" s="266" t="inlineStr">
        <is>
          <t>11月</t>
        </is>
      </c>
      <c r="E377" s="343" t="n"/>
      <c r="F377" s="344" t="n"/>
      <c r="G377" s="345" t="n"/>
      <c r="H377" s="346" t="n"/>
      <c r="I377" s="347" t="n"/>
      <c r="J377" s="348">
        <f>G377+H377+I377</f>
        <v/>
      </c>
      <c r="K377" s="348">
        <f>J377/E377</f>
        <v/>
      </c>
      <c r="L377" s="348">
        <f>J377/F377</f>
        <v/>
      </c>
      <c r="M377" s="35" t="n"/>
    </row>
    <row r="378" ht="15.75" customHeight="1" s="272">
      <c r="A378" s="287" t="n"/>
      <c r="B378" s="287" t="n"/>
      <c r="C378" s="287" t="n"/>
      <c r="D378" s="266" t="inlineStr">
        <is>
          <t>12月</t>
        </is>
      </c>
      <c r="E378" s="343" t="n"/>
      <c r="F378" s="344" t="n"/>
      <c r="G378" s="345" t="n"/>
      <c r="H378" s="346" t="n"/>
      <c r="I378" s="347" t="n"/>
      <c r="J378" s="348">
        <f>G378+H378+I378</f>
        <v/>
      </c>
      <c r="K378" s="348">
        <f>J378/E378</f>
        <v/>
      </c>
      <c r="L378" s="348">
        <f>J378/F378</f>
        <v/>
      </c>
      <c r="M378" s="35" t="n"/>
    </row>
    <row r="379" ht="15.75" customHeight="1" s="272">
      <c r="A379" s="287" t="n"/>
      <c r="B379" s="287" t="n"/>
      <c r="C379" s="287" t="n"/>
      <c r="D379" s="266" t="inlineStr">
        <is>
          <t>1月</t>
        </is>
      </c>
      <c r="E379" s="343" t="n"/>
      <c r="F379" s="344" t="n"/>
      <c r="G379" s="345" t="n"/>
      <c r="H379" s="346" t="n"/>
      <c r="I379" s="347" t="n"/>
      <c r="J379" s="348">
        <f>G379+H379+I379</f>
        <v/>
      </c>
      <c r="K379" s="348">
        <f>J379/E379</f>
        <v/>
      </c>
      <c r="L379" s="348">
        <f>J379/F379</f>
        <v/>
      </c>
      <c r="M379" s="35" t="n"/>
    </row>
    <row r="380" ht="15.75" customHeight="1" s="272">
      <c r="A380" s="287" t="n"/>
      <c r="B380" s="287" t="n"/>
      <c r="C380" s="287" t="n"/>
      <c r="D380" s="266" t="inlineStr">
        <is>
          <t>2月</t>
        </is>
      </c>
      <c r="E380" s="343" t="n"/>
      <c r="F380" s="344" t="n"/>
      <c r="G380" s="345" t="n"/>
      <c r="H380" s="346" t="n"/>
      <c r="I380" s="347" t="n"/>
      <c r="J380" s="348">
        <f>G380+H380+I380</f>
        <v/>
      </c>
      <c r="K380" s="348">
        <f>J380/E380</f>
        <v/>
      </c>
      <c r="L380" s="348">
        <f>J380/F380</f>
        <v/>
      </c>
      <c r="M380" s="35" t="n"/>
    </row>
    <row r="381" ht="15.75" customHeight="1" s="272">
      <c r="A381" s="290" t="n"/>
      <c r="B381" s="290" t="n"/>
      <c r="C381" s="290" t="n"/>
      <c r="D381" s="270" t="inlineStr">
        <is>
          <t>3月</t>
        </is>
      </c>
      <c r="E381" s="349" t="n"/>
      <c r="F381" s="350" t="n"/>
      <c r="G381" s="351" t="n"/>
      <c r="H381" s="352" t="n"/>
      <c r="I381" s="353" t="n"/>
      <c r="J381" s="354">
        <f>G381+H381+I381</f>
        <v/>
      </c>
      <c r="K381" s="354">
        <f>J381/E381</f>
        <v/>
      </c>
      <c r="L381" s="354">
        <f>J381/F381</f>
        <v/>
      </c>
      <c r="M381" s="36" t="n"/>
    </row>
  </sheetData>
  <mergeCells count="115">
    <mergeCell ref="A234:A245"/>
    <mergeCell ref="B78:B89"/>
    <mergeCell ref="B30:B41"/>
    <mergeCell ref="B306:B317"/>
    <mergeCell ref="B198:B209"/>
    <mergeCell ref="B54:B65"/>
    <mergeCell ref="E362:F362"/>
    <mergeCell ref="E364:F364"/>
    <mergeCell ref="C42:C53"/>
    <mergeCell ref="A78:A89"/>
    <mergeCell ref="C318:C329"/>
    <mergeCell ref="B282:B293"/>
    <mergeCell ref="E363:F363"/>
    <mergeCell ref="A246:A257"/>
    <mergeCell ref="B90:B101"/>
    <mergeCell ref="C246:C257"/>
    <mergeCell ref="C306:C317"/>
    <mergeCell ref="A174:A185"/>
    <mergeCell ref="B18:B29"/>
    <mergeCell ref="B294:B305"/>
    <mergeCell ref="B234:B245"/>
    <mergeCell ref="H363:I364"/>
    <mergeCell ref="C114:C125"/>
    <mergeCell ref="A282:A293"/>
    <mergeCell ref="C282:C293"/>
    <mergeCell ref="C138:C149"/>
    <mergeCell ref="B342:B353"/>
    <mergeCell ref="E361:F361"/>
    <mergeCell ref="H362:I362"/>
    <mergeCell ref="A210:A221"/>
    <mergeCell ref="K363:L363"/>
    <mergeCell ref="M3:M5"/>
    <mergeCell ref="A342:A353"/>
    <mergeCell ref="B174:B185"/>
    <mergeCell ref="H1:I1"/>
    <mergeCell ref="B126:B137"/>
    <mergeCell ref="E360:G360"/>
    <mergeCell ref="A258:A269"/>
    <mergeCell ref="B330:B341"/>
    <mergeCell ref="H357:I358"/>
    <mergeCell ref="C126:C137"/>
    <mergeCell ref="K364:L364"/>
    <mergeCell ref="B3:B5"/>
    <mergeCell ref="C18:C29"/>
    <mergeCell ref="B150:B161"/>
    <mergeCell ref="H361:I361"/>
    <mergeCell ref="J1:M1"/>
    <mergeCell ref="C294:C305"/>
    <mergeCell ref="A222:A233"/>
    <mergeCell ref="A66:A77"/>
    <mergeCell ref="A6:A17"/>
    <mergeCell ref="A370:A381"/>
    <mergeCell ref="H356:I356"/>
    <mergeCell ref="B210:B221"/>
    <mergeCell ref="C270:C281"/>
    <mergeCell ref="A306:A317"/>
    <mergeCell ref="A3:A5"/>
    <mergeCell ref="A198:A209"/>
    <mergeCell ref="A42:A53"/>
    <mergeCell ref="B270:B281"/>
    <mergeCell ref="A318:A329"/>
    <mergeCell ref="B162:B173"/>
    <mergeCell ref="C370:C381"/>
    <mergeCell ref="I2:J2"/>
    <mergeCell ref="C258:C269"/>
    <mergeCell ref="B222:B233"/>
    <mergeCell ref="C6:C17"/>
    <mergeCell ref="A186:A197"/>
    <mergeCell ref="C186:C197"/>
    <mergeCell ref="J363:J364"/>
    <mergeCell ref="C78:C89"/>
    <mergeCell ref="A114:A125"/>
    <mergeCell ref="B138:B149"/>
    <mergeCell ref="C3:C5"/>
    <mergeCell ref="A54:A65"/>
    <mergeCell ref="A138:A149"/>
    <mergeCell ref="B370:B381"/>
    <mergeCell ref="C54:C65"/>
    <mergeCell ref="C234:C245"/>
    <mergeCell ref="A162:A173"/>
    <mergeCell ref="C162:C173"/>
    <mergeCell ref="B102:B113"/>
    <mergeCell ref="A354:C355"/>
    <mergeCell ref="G3:L4"/>
    <mergeCell ref="A330:A341"/>
    <mergeCell ref="A90:A101"/>
    <mergeCell ref="D3:F4"/>
    <mergeCell ref="C198:C209"/>
    <mergeCell ref="B246:B257"/>
    <mergeCell ref="C90:C101"/>
    <mergeCell ref="A126:A137"/>
    <mergeCell ref="C222:C233"/>
    <mergeCell ref="A18:A29"/>
    <mergeCell ref="A294:A305"/>
    <mergeCell ref="C150:C161"/>
    <mergeCell ref="B114:B125"/>
    <mergeCell ref="C174:C185"/>
    <mergeCell ref="A150:A161"/>
    <mergeCell ref="C66:C77"/>
    <mergeCell ref="A102:A113"/>
    <mergeCell ref="C342:C353"/>
    <mergeCell ref="C102:C113"/>
    <mergeCell ref="B66:B77"/>
    <mergeCell ref="A270:A281"/>
    <mergeCell ref="A30:A41"/>
    <mergeCell ref="C30:C41"/>
    <mergeCell ref="C210:C221"/>
    <mergeCell ref="C330:C341"/>
    <mergeCell ref="E2:F2"/>
    <mergeCell ref="K362:L362"/>
    <mergeCell ref="B42:B53"/>
    <mergeCell ref="B318:B329"/>
    <mergeCell ref="B258:B269"/>
    <mergeCell ref="B6:B17"/>
    <mergeCell ref="B186:B197"/>
  </mergeCells>
  <dataValidations count="5">
    <dataValidation sqref="C370:C381" showDropDown="0" showInputMessage="1" showErrorMessage="1" allowBlank="1" type="list">
      <formula1>#REF!</formula1>
    </dataValidation>
    <dataValidation sqref="G370:I381" showDropDown="0" showInputMessage="1" showErrorMessage="1" allowBlank="1" type="whole" operator="notEqual">
      <formula1>0</formula1>
    </dataValidation>
    <dataValidation sqref="E370:E381" showDropDown="0" showInputMessage="1" showErrorMessage="1" allowBlank="1" type="whole" operator="greaterThan">
      <formula1>0</formula1>
    </dataValidation>
    <dataValidation sqref="F370:F381" showDropDown="0" showInputMessage="1" showErrorMessage="1" allowBlank="1" type="decimal" operator="greaterThan">
      <formula1>0</formula1>
    </dataValidation>
    <dataValidation sqref="G2" showDropDown="0" showInputMessage="1" showErrorMessage="1" allowBlank="1" type="list">
      <formula1>"12,11,10,9,8,7,6,5,4,3,2,1"</formula1>
    </dataValidation>
  </dataValidations>
  <pageMargins left="0.7086614173228347" right="0.3937007874015748" top="0.7480314960629921" bottom="0.7480314960629921" header="0.3149606299212598" footer="0.3149606299212598"/>
  <pageSetup orientation="portrait" paperSize="9" scale="62"/>
  <rowBreaks count="4" manualBreakCount="4">
    <brk id="77" min="0" max="16383" man="1"/>
    <brk id="149" min="0" max="16383" man="1"/>
    <brk id="221" min="0" max="16383" man="1"/>
    <brk id="29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oitapref</dc:creator>
  <dcterms:created xmlns:dcterms="http://purl.org/dc/terms/" xmlns:xsi="http://www.w3.org/2001/XMLSchema-instance" xsi:type="dcterms:W3CDTF">2016-01-15T00:34:04Z</dcterms:created>
  <dcterms:modified xmlns:dcterms="http://purl.org/dc/terms/" xmlns:xsi="http://www.w3.org/2001/XMLSchema-instance" xsi:type="dcterms:W3CDTF">2026-05-27T08:51:21Z</dcterms:modified>
  <cp:lastModifiedBy>大久保　峻吾</cp:lastModifiedBy>
  <cp:lastPrinted>2026-03-12T05:45:06Z</cp:lastPrinted>
</cp:coreProperties>
</file>